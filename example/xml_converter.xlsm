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p\Documents\"/>
    </mc:Choice>
  </mc:AlternateContent>
  <xr:revisionPtr revIDLastSave="0" documentId="13_ncr:1_{6CEC7CAE-6EE6-4CB5-81A7-E263893C7C5C}" xr6:coauthVersionLast="45" xr6:coauthVersionMax="45" xr10:uidLastSave="{00000000-0000-0000-0000-000000000000}"/>
  <bookViews>
    <workbookView xWindow="25080" yWindow="-120" windowWidth="25440" windowHeight="15990" activeTab="5" xr2:uid="{90B8E717-CD35-4EBB-A047-3C52215825F8}"/>
  </bookViews>
  <sheets>
    <sheet name="Sample_Input" sheetId="5" r:id="rId1"/>
    <sheet name="Chromatography_Input" sheetId="1" r:id="rId2"/>
    <sheet name="Mass Spectrometry_Input" sheetId="3" r:id="rId3"/>
    <sheet name="QC Method_Input" sheetId="4" r:id="rId4"/>
    <sheet name="Peaks_Input" sheetId="8" r:id="rId5"/>
    <sheet name="Output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2" l="1"/>
  <c r="H3" i="8" l="1"/>
  <c r="H5" i="8"/>
  <c r="H6" i="8"/>
  <c r="H7" i="8"/>
  <c r="H8" i="8"/>
  <c r="H9" i="8"/>
  <c r="H10" i="8"/>
  <c r="H11" i="8"/>
  <c r="H12" i="8"/>
  <c r="H13" i="8"/>
  <c r="H4" i="8"/>
  <c r="E17" i="3" l="1"/>
  <c r="E16" i="3"/>
  <c r="E3" i="5"/>
  <c r="E7" i="5"/>
  <c r="E6" i="5"/>
  <c r="E5" i="5"/>
  <c r="E4" i="5"/>
  <c r="E5" i="4"/>
  <c r="E7" i="4"/>
  <c r="E8" i="4"/>
  <c r="E6" i="4"/>
  <c r="E3" i="4"/>
  <c r="E4" i="4"/>
  <c r="E3" i="3"/>
  <c r="E15" i="3"/>
  <c r="E14" i="3"/>
  <c r="E13" i="3"/>
  <c r="E12" i="3"/>
  <c r="E11" i="3"/>
  <c r="E10" i="3"/>
  <c r="E9" i="3"/>
  <c r="E8" i="3"/>
  <c r="E7" i="3"/>
  <c r="E6" i="3"/>
  <c r="E5" i="3"/>
  <c r="E4" i="3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4" i="1"/>
  <c r="E3" i="1"/>
</calcChain>
</file>

<file path=xl/sharedStrings.xml><?xml version="1.0" encoding="utf-8"?>
<sst xmlns="http://schemas.openxmlformats.org/spreadsheetml/2006/main" count="164" uniqueCount="134">
  <si>
    <t>Chromatography</t>
  </si>
  <si>
    <t>LC</t>
  </si>
  <si>
    <t>Mobile Phase 1 Solvent</t>
  </si>
  <si>
    <t>Mobile Phase 1 Additive</t>
  </si>
  <si>
    <t>Parameter</t>
  </si>
  <si>
    <t>Value</t>
  </si>
  <si>
    <t>Description</t>
  </si>
  <si>
    <t>Type of Chromatography</t>
  </si>
  <si>
    <t>User Input</t>
  </si>
  <si>
    <t>XML Output</t>
  </si>
  <si>
    <t>ThermoFisher Scientific</t>
  </si>
  <si>
    <t>Mobile Phase 2 Solvent</t>
  </si>
  <si>
    <t>Mobile Phase 2 Additive</t>
  </si>
  <si>
    <t>Mobile Phase 3 Solvent</t>
  </si>
  <si>
    <t>Mobile Phase 3 Additive</t>
  </si>
  <si>
    <t>Mobile Phase 4 Solvent</t>
  </si>
  <si>
    <t>Mobile Phase 4 Additive</t>
  </si>
  <si>
    <t>Water</t>
  </si>
  <si>
    <t>Ammonium Acetate</t>
  </si>
  <si>
    <t>Methanol</t>
  </si>
  <si>
    <t>none</t>
  </si>
  <si>
    <t>Poroshell C18</t>
  </si>
  <si>
    <t>Name of Chromatography Column</t>
  </si>
  <si>
    <t>cetype</t>
  </si>
  <si>
    <t>mp1solvent</t>
  </si>
  <si>
    <t>mp1add</t>
  </si>
  <si>
    <t>mp2add</t>
  </si>
  <si>
    <t>mp3solvent</t>
  </si>
  <si>
    <t>mp3add</t>
  </si>
  <si>
    <t>mp4solvent</t>
  </si>
  <si>
    <t>mp4add</t>
  </si>
  <si>
    <t>colname</t>
  </si>
  <si>
    <t>Column Phase</t>
  </si>
  <si>
    <t>C18</t>
  </si>
  <si>
    <t>colchemistry</t>
  </si>
  <si>
    <t>Column Inner Diameter (mm)</t>
  </si>
  <si>
    <t>colid</t>
  </si>
  <si>
    <t>Column Length (mm)</t>
  </si>
  <si>
    <t>collen</t>
  </si>
  <si>
    <t>Particle Diameter (um)</t>
  </si>
  <si>
    <t>coldp</t>
  </si>
  <si>
    <t>Chromatography Column Vendor</t>
  </si>
  <si>
    <t>Chromatograph Vendor</t>
  </si>
  <si>
    <t>Agilent Technologies</t>
  </si>
  <si>
    <t>colvender</t>
  </si>
  <si>
    <t>cvendor</t>
  </si>
  <si>
    <t>&lt;/chromatography&gt;</t>
  </si>
  <si>
    <t>Mass Spectrometry</t>
  </si>
  <si>
    <t>&lt;/massspectrometry&gt;</t>
  </si>
  <si>
    <t>Mass Spectrometer Vendor</t>
  </si>
  <si>
    <t>mvendor</t>
  </si>
  <si>
    <t>Ionization Mode</t>
  </si>
  <si>
    <t>electrospray ionization</t>
  </si>
  <si>
    <t>imode</t>
  </si>
  <si>
    <t>Polarity</t>
  </si>
  <si>
    <t>negative</t>
  </si>
  <si>
    <t>polarity</t>
  </si>
  <si>
    <t>Ionization Voltage/Current</t>
  </si>
  <si>
    <t>vvalue</t>
  </si>
  <si>
    <t>Ionization Voltage/Current Units</t>
  </si>
  <si>
    <t>V</t>
  </si>
  <si>
    <t>vunits</t>
  </si>
  <si>
    <t>First Mass Analyzer</t>
  </si>
  <si>
    <t>quadrupole</t>
  </si>
  <si>
    <t>massanalyzer1</t>
  </si>
  <si>
    <t>Second Mass Analyzer</t>
  </si>
  <si>
    <t>orbitrap</t>
  </si>
  <si>
    <t>massanalyzer2</t>
  </si>
  <si>
    <t>HCD</t>
  </si>
  <si>
    <t>fragmode</t>
  </si>
  <si>
    <t>Collision Cell Type</t>
  </si>
  <si>
    <t>Fragmentation/Collision Energy</t>
  </si>
  <si>
    <t>cevalue</t>
  </si>
  <si>
    <t>Fragmentation/Collision Energy Type</t>
  </si>
  <si>
    <t>Stepped</t>
  </si>
  <si>
    <t>15;30;45</t>
  </si>
  <si>
    <t>Fragmentation/Collision Energy Units</t>
  </si>
  <si>
    <t>NCE</t>
  </si>
  <si>
    <t>ceunits</t>
  </si>
  <si>
    <t>detector</t>
  </si>
  <si>
    <t>inductive detector</t>
  </si>
  <si>
    <t>Was a QC Method Used</t>
  </si>
  <si>
    <t>qcused</t>
  </si>
  <si>
    <t>Mass Analyzer Calibration</t>
  </si>
  <si>
    <t>External Standard Verification</t>
  </si>
  <si>
    <t>Internal Standard Verification</t>
  </si>
  <si>
    <t>&lt;/qcmethod&gt;</t>
  </si>
  <si>
    <t>Matrix Standard Verification</t>
  </si>
  <si>
    <t>qctype</t>
  </si>
  <si>
    <t>QC Method</t>
  </si>
  <si>
    <t>&lt;/sample&gt;</t>
  </si>
  <si>
    <t>Sample Information</t>
  </si>
  <si>
    <t>File Name</t>
  </si>
  <si>
    <t>PFAC30PAR_PFCA2.mzML</t>
  </si>
  <si>
    <t>Sample Name</t>
  </si>
  <si>
    <t>filename</t>
  </si>
  <si>
    <t>description</t>
  </si>
  <si>
    <t>Sample Class</t>
  </si>
  <si>
    <t>class</t>
  </si>
  <si>
    <t>3M 3% Lightwater AFFF</t>
  </si>
  <si>
    <t>AFFF</t>
  </si>
  <si>
    <t>MS2 Experiment</t>
  </si>
  <si>
    <t>TopN</t>
  </si>
  <si>
    <t>ms2exp</t>
  </si>
  <si>
    <t>Isolation Width/Window (Da)</t>
  </si>
  <si>
    <t>isowidth</t>
  </si>
  <si>
    <t>Submitter Name</t>
  </si>
  <si>
    <t>submitter</t>
  </si>
  <si>
    <t>Perfluorobutanoic acid</t>
  </si>
  <si>
    <t>YPJUNDFVDDCYIH-UHFFFAOYSA-N</t>
  </si>
  <si>
    <t>Perfluoropentanoic acid</t>
  </si>
  <si>
    <t>CXZGQIAOTKWCDB-UHFFFAOYSA-N</t>
  </si>
  <si>
    <t>Perfluorohexanoic acid</t>
  </si>
  <si>
    <t>PXUULQAPEKKVAH-UHFFFAOYSA-N</t>
  </si>
  <si>
    <t>Perfluoroheptanoic acid</t>
  </si>
  <si>
    <t>ZWBAMYVPMDSJGQ-UHFFFAOYSA-N</t>
  </si>
  <si>
    <t>Perfluorooctanoic acid</t>
  </si>
  <si>
    <t>SNGREZUHAYWORS-UHFFFAOYSA-N</t>
  </si>
  <si>
    <t>Perfluorononanoic acid</t>
  </si>
  <si>
    <t>UZUFPBIDKMEQEQ-UHFFFAOYSA-N</t>
  </si>
  <si>
    <t>Perfluorodecanoic acid</t>
  </si>
  <si>
    <t>PCIUEQPBYFRTEM-UHFFFAOYSA-N</t>
  </si>
  <si>
    <t>Perfluorododecanoic acid</t>
  </si>
  <si>
    <t>CXGONMQFMIYUJR-UHFFFAOYSA-N</t>
  </si>
  <si>
    <t>Perfluoroundecanoic acid</t>
  </si>
  <si>
    <t>SIDINRCMMRKXGQ-UHFFFAOYSA-N</t>
  </si>
  <si>
    <t>Perfluorotridecanoic acid</t>
  </si>
  <si>
    <t>LVDGGZAZAYHXEY-UHFFFAOYSA-N</t>
  </si>
  <si>
    <t>name</t>
  </si>
  <si>
    <t>identifier</t>
  </si>
  <si>
    <t>mz</t>
  </si>
  <si>
    <t>rt</t>
  </si>
  <si>
    <t>peak_starttime</t>
  </si>
  <si>
    <t>peak_endtime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</si>
</sst>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163286</xdr:colOff>
          <xdr:row>0</xdr:row>
          <xdr:rowOff>310243</xdr:rowOff>
        </xdr:from>
        <xdr:to>
          <xdr:col>6</xdr:col>
          <xdr:colOff>296636</xdr:colOff>
          <xdr:row>0</xdr:row>
          <xdr:rowOff>1729468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mzML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FAB7E-3CEB-4C00-A929-29550EA60327}">
  <sheetPr codeName="Sheet4"/>
  <dimension ref="A1:E8"/>
  <sheetViews>
    <sheetView workbookViewId="0">
      <selection activeCell="B4" sqref="B4"/>
    </sheetView>
  </sheetViews>
  <sheetFormatPr defaultRowHeight="15" x14ac:dyDescent="0.25"/>
  <cols>
    <col min="1" max="1" width="31.7109375" bestFit="1" customWidth="1"/>
    <col min="2" max="2" width="23.85546875" style="4" bestFit="1" customWidth="1"/>
    <col min="3" max="3" width="12.28515625" bestFit="1" customWidth="1"/>
    <col min="4" max="4" width="11.5703125" bestFit="1" customWidth="1"/>
    <col min="5" max="5" width="44.140625" bestFit="1" customWidth="1"/>
  </cols>
  <sheetData>
    <row r="1" spans="1:5" ht="18.75" x14ac:dyDescent="0.3">
      <c r="A1" s="3" t="s">
        <v>91</v>
      </c>
      <c r="D1" s="1"/>
    </row>
    <row r="2" spans="1:5" x14ac:dyDescent="0.25">
      <c r="A2" s="2" t="s">
        <v>8</v>
      </c>
      <c r="E2" s="2" t="s">
        <v>9</v>
      </c>
    </row>
    <row r="3" spans="1:5" x14ac:dyDescent="0.25">
      <c r="A3" s="2" t="s">
        <v>6</v>
      </c>
      <c r="B3" s="5" t="s">
        <v>5</v>
      </c>
      <c r="C3" s="2" t="s">
        <v>4</v>
      </c>
      <c r="E3" t="str">
        <f>CONCATENATE("&lt;sample&gt;", CHAR(10))</f>
        <v xml:space="preserve">&lt;sample&gt;
</v>
      </c>
    </row>
    <row r="4" spans="1:5" x14ac:dyDescent="0.25">
      <c r="A4" t="s">
        <v>92</v>
      </c>
      <c r="B4" s="4" t="s">
        <v>93</v>
      </c>
      <c r="C4" t="s">
        <v>95</v>
      </c>
      <c r="E4" t="str">
        <f>CONCATENATE("&lt;", C4, "&gt;", B4, "&lt;/", C4, "&gt;", CHAR(10))</f>
        <v xml:space="preserve">&lt;filename&gt;PFAC30PAR_PFCA2.mzML&lt;/filename&gt;
</v>
      </c>
    </row>
    <row r="5" spans="1:5" x14ac:dyDescent="0.25">
      <c r="A5" t="s">
        <v>94</v>
      </c>
      <c r="B5" s="4" t="s">
        <v>99</v>
      </c>
      <c r="C5" t="s">
        <v>96</v>
      </c>
      <c r="E5" t="str">
        <f t="shared" ref="E5:E7" si="0">CONCATENATE("&lt;", C5, "&gt;", B5, "&lt;/", C5, "&gt;", CHAR(10))</f>
        <v xml:space="preserve">&lt;description&gt;3M 3% Lightwater AFFF&lt;/description&gt;
</v>
      </c>
    </row>
    <row r="6" spans="1:5" x14ac:dyDescent="0.25">
      <c r="A6" t="s">
        <v>97</v>
      </c>
      <c r="B6" s="4" t="s">
        <v>100</v>
      </c>
      <c r="C6" t="s">
        <v>98</v>
      </c>
      <c r="E6" t="str">
        <f t="shared" si="0"/>
        <v xml:space="preserve">&lt;class&gt;AFFF&lt;/class&gt;
</v>
      </c>
    </row>
    <row r="7" spans="1:5" x14ac:dyDescent="0.25">
      <c r="A7" t="s">
        <v>106</v>
      </c>
      <c r="B7" s="4" t="s">
        <v>18</v>
      </c>
      <c r="C7" t="s">
        <v>107</v>
      </c>
      <c r="E7" t="str">
        <f t="shared" si="0"/>
        <v xml:space="preserve">&lt;submitter&gt;Ammonium Acetate&lt;/submitter&gt;
</v>
      </c>
    </row>
    <row r="8" spans="1:5" x14ac:dyDescent="0.25">
      <c r="E8" t="s">
        <v>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A8B1-FD66-4091-87C5-C4E896AF50C9}">
  <sheetPr codeName="Sheet1"/>
  <dimension ref="A1:E20"/>
  <sheetViews>
    <sheetView workbookViewId="0">
      <selection activeCell="E3" sqref="E3"/>
    </sheetView>
  </sheetViews>
  <sheetFormatPr defaultRowHeight="15" x14ac:dyDescent="0.25"/>
  <cols>
    <col min="1" max="1" width="31.7109375" bestFit="1" customWidth="1"/>
    <col min="2" max="2" width="22.28515625" style="4" bestFit="1" customWidth="1"/>
    <col min="3" max="3" width="12.28515625" bestFit="1" customWidth="1"/>
    <col min="4" max="4" width="11.5703125" bestFit="1" customWidth="1"/>
    <col min="5" max="5" width="44.140625" bestFit="1" customWidth="1"/>
  </cols>
  <sheetData>
    <row r="1" spans="1:5" ht="18.75" x14ac:dyDescent="0.3">
      <c r="A1" s="3" t="s">
        <v>0</v>
      </c>
      <c r="D1" s="1"/>
    </row>
    <row r="2" spans="1:5" x14ac:dyDescent="0.25">
      <c r="A2" s="2" t="s">
        <v>8</v>
      </c>
      <c r="E2" s="2" t="s">
        <v>9</v>
      </c>
    </row>
    <row r="3" spans="1:5" x14ac:dyDescent="0.25">
      <c r="A3" s="2" t="s">
        <v>6</v>
      </c>
      <c r="B3" s="5" t="s">
        <v>5</v>
      </c>
      <c r="C3" s="2" t="s">
        <v>4</v>
      </c>
      <c r="E3" t="str">
        <f>CONCATENATE("&lt;chromatography&gt;", CHAR(10))</f>
        <v xml:space="preserve">&lt;chromatography&gt;
</v>
      </c>
    </row>
    <row r="4" spans="1:5" x14ac:dyDescent="0.25">
      <c r="A4" t="s">
        <v>7</v>
      </c>
      <c r="B4" s="4" t="s">
        <v>1</v>
      </c>
      <c r="C4" t="s">
        <v>23</v>
      </c>
      <c r="E4" t="str">
        <f>CONCATENATE("&lt;", C4, "&gt;", B4, "&lt;/", C4, "&gt;", CHAR(10))</f>
        <v xml:space="preserve">&lt;cetype&gt;LC&lt;/cetype&gt;
</v>
      </c>
    </row>
    <row r="5" spans="1:5" x14ac:dyDescent="0.25">
      <c r="A5" t="s">
        <v>42</v>
      </c>
      <c r="B5" s="4" t="s">
        <v>10</v>
      </c>
      <c r="C5" t="s">
        <v>45</v>
      </c>
      <c r="E5" t="str">
        <f t="shared" ref="E5:E19" si="0">CONCATENATE("&lt;", C5, "&gt;", B5, "&lt;/", C5, "&gt;", CHAR(10))</f>
        <v xml:space="preserve">&lt;cvendor&gt;ThermoFisher Scientific&lt;/cvendor&gt;
</v>
      </c>
    </row>
    <row r="6" spans="1:5" x14ac:dyDescent="0.25">
      <c r="A6" t="s">
        <v>2</v>
      </c>
      <c r="B6" s="4" t="s">
        <v>17</v>
      </c>
      <c r="C6" t="s">
        <v>24</v>
      </c>
      <c r="E6" t="str">
        <f t="shared" si="0"/>
        <v xml:space="preserve">&lt;mp1solvent&gt;Water&lt;/mp1solvent&gt;
</v>
      </c>
    </row>
    <row r="7" spans="1:5" x14ac:dyDescent="0.25">
      <c r="A7" t="s">
        <v>3</v>
      </c>
      <c r="B7" s="4" t="s">
        <v>18</v>
      </c>
      <c r="C7" t="s">
        <v>25</v>
      </c>
      <c r="E7" t="str">
        <f t="shared" si="0"/>
        <v xml:space="preserve">&lt;mp1add&gt;Ammonium Acetate&lt;/mp1add&gt;
</v>
      </c>
    </row>
    <row r="8" spans="1:5" x14ac:dyDescent="0.25">
      <c r="A8" t="s">
        <v>11</v>
      </c>
      <c r="B8" s="4" t="s">
        <v>19</v>
      </c>
      <c r="C8" t="s">
        <v>25</v>
      </c>
      <c r="E8" t="str">
        <f t="shared" si="0"/>
        <v xml:space="preserve">&lt;mp1add&gt;Methanol&lt;/mp1add&gt;
</v>
      </c>
    </row>
    <row r="9" spans="1:5" x14ac:dyDescent="0.25">
      <c r="A9" t="s">
        <v>12</v>
      </c>
      <c r="B9" s="4" t="s">
        <v>18</v>
      </c>
      <c r="C9" t="s">
        <v>26</v>
      </c>
      <c r="E9" t="str">
        <f t="shared" si="0"/>
        <v xml:space="preserve">&lt;mp2add&gt;Ammonium Acetate&lt;/mp2add&gt;
</v>
      </c>
    </row>
    <row r="10" spans="1:5" x14ac:dyDescent="0.25">
      <c r="A10" t="s">
        <v>13</v>
      </c>
      <c r="B10" s="4" t="s">
        <v>20</v>
      </c>
      <c r="C10" t="s">
        <v>27</v>
      </c>
      <c r="E10" t="str">
        <f t="shared" si="0"/>
        <v xml:space="preserve">&lt;mp3solvent&gt;none&lt;/mp3solvent&gt;
</v>
      </c>
    </row>
    <row r="11" spans="1:5" x14ac:dyDescent="0.25">
      <c r="A11" t="s">
        <v>14</v>
      </c>
      <c r="B11" s="4" t="s">
        <v>20</v>
      </c>
      <c r="C11" t="s">
        <v>28</v>
      </c>
      <c r="E11" t="str">
        <f t="shared" si="0"/>
        <v xml:space="preserve">&lt;mp3add&gt;none&lt;/mp3add&gt;
</v>
      </c>
    </row>
    <row r="12" spans="1:5" x14ac:dyDescent="0.25">
      <c r="A12" t="s">
        <v>15</v>
      </c>
      <c r="B12" s="4" t="s">
        <v>20</v>
      </c>
      <c r="C12" t="s">
        <v>29</v>
      </c>
      <c r="E12" t="str">
        <f t="shared" si="0"/>
        <v xml:space="preserve">&lt;mp4solvent&gt;none&lt;/mp4solvent&gt;
</v>
      </c>
    </row>
    <row r="13" spans="1:5" x14ac:dyDescent="0.25">
      <c r="A13" t="s">
        <v>16</v>
      </c>
      <c r="B13" s="4" t="s">
        <v>20</v>
      </c>
      <c r="C13" t="s">
        <v>30</v>
      </c>
      <c r="E13" t="str">
        <f t="shared" si="0"/>
        <v xml:space="preserve">&lt;mp4add&gt;none&lt;/mp4add&gt;
</v>
      </c>
    </row>
    <row r="14" spans="1:5" x14ac:dyDescent="0.25">
      <c r="A14" t="s">
        <v>41</v>
      </c>
      <c r="B14" s="4" t="s">
        <v>43</v>
      </c>
      <c r="C14" t="s">
        <v>44</v>
      </c>
      <c r="E14" t="str">
        <f t="shared" si="0"/>
        <v xml:space="preserve">&lt;colvender&gt;Agilent Technologies&lt;/colvender&gt;
</v>
      </c>
    </row>
    <row r="15" spans="1:5" x14ac:dyDescent="0.25">
      <c r="A15" t="s">
        <v>22</v>
      </c>
      <c r="B15" s="4" t="s">
        <v>21</v>
      </c>
      <c r="C15" t="s">
        <v>31</v>
      </c>
      <c r="E15" t="str">
        <f t="shared" si="0"/>
        <v xml:space="preserve">&lt;colname&gt;Poroshell C18&lt;/colname&gt;
</v>
      </c>
    </row>
    <row r="16" spans="1:5" x14ac:dyDescent="0.25">
      <c r="A16" t="s">
        <v>32</v>
      </c>
      <c r="B16" s="4" t="s">
        <v>33</v>
      </c>
      <c r="C16" t="s">
        <v>34</v>
      </c>
      <c r="E16" t="str">
        <f t="shared" si="0"/>
        <v xml:space="preserve">&lt;colchemistry&gt;C18&lt;/colchemistry&gt;
</v>
      </c>
    </row>
    <row r="17" spans="1:5" x14ac:dyDescent="0.25">
      <c r="A17" t="s">
        <v>35</v>
      </c>
      <c r="B17" s="4">
        <v>2.1</v>
      </c>
      <c r="C17" t="s">
        <v>36</v>
      </c>
      <c r="E17" t="str">
        <f t="shared" si="0"/>
        <v xml:space="preserve">&lt;colid&gt;2.1&lt;/colid&gt;
</v>
      </c>
    </row>
    <row r="18" spans="1:5" x14ac:dyDescent="0.25">
      <c r="A18" t="s">
        <v>37</v>
      </c>
      <c r="B18" s="4">
        <v>150</v>
      </c>
      <c r="C18" t="s">
        <v>38</v>
      </c>
      <c r="E18" t="str">
        <f t="shared" si="0"/>
        <v xml:space="preserve">&lt;collen&gt;150&lt;/collen&gt;
</v>
      </c>
    </row>
    <row r="19" spans="1:5" x14ac:dyDescent="0.25">
      <c r="A19" t="s">
        <v>39</v>
      </c>
      <c r="B19" s="4">
        <v>1.8</v>
      </c>
      <c r="C19" t="s">
        <v>40</v>
      </c>
      <c r="E19" t="str">
        <f t="shared" si="0"/>
        <v xml:space="preserve">&lt;coldp&gt;1.8&lt;/coldp&gt;
</v>
      </c>
    </row>
    <row r="20" spans="1:5" x14ac:dyDescent="0.25">
      <c r="E20" t="s">
        <v>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F9FF2-431A-40FC-B169-F0026EF060BD}">
  <sheetPr codeName="Sheet5"/>
  <dimension ref="A1:E18"/>
  <sheetViews>
    <sheetView workbookViewId="0">
      <selection activeCell="E3" sqref="E3"/>
    </sheetView>
  </sheetViews>
  <sheetFormatPr defaultRowHeight="15" x14ac:dyDescent="0.25"/>
  <cols>
    <col min="1" max="1" width="34.5703125" bestFit="1" customWidth="1"/>
    <col min="2" max="2" width="22.28515625" style="4" bestFit="1" customWidth="1"/>
    <col min="3" max="3" width="12.28515625" bestFit="1" customWidth="1"/>
    <col min="4" max="4" width="11.5703125" bestFit="1" customWidth="1"/>
    <col min="5" max="5" width="44.140625" bestFit="1" customWidth="1"/>
  </cols>
  <sheetData>
    <row r="1" spans="1:5" ht="18.75" x14ac:dyDescent="0.3">
      <c r="A1" s="3" t="s">
        <v>47</v>
      </c>
      <c r="D1" s="1"/>
    </row>
    <row r="2" spans="1:5" x14ac:dyDescent="0.25">
      <c r="A2" s="2" t="s">
        <v>8</v>
      </c>
      <c r="E2" s="2" t="s">
        <v>9</v>
      </c>
    </row>
    <row r="3" spans="1:5" x14ac:dyDescent="0.25">
      <c r="A3" s="2" t="s">
        <v>6</v>
      </c>
      <c r="B3" s="5" t="s">
        <v>5</v>
      </c>
      <c r="C3" s="2" t="s">
        <v>4</v>
      </c>
      <c r="E3" t="str">
        <f>CONCATENATE("&lt;massspectrometry&gt;", CHAR(10))</f>
        <v xml:space="preserve">&lt;massspectrometry&gt;
</v>
      </c>
    </row>
    <row r="4" spans="1:5" x14ac:dyDescent="0.25">
      <c r="A4" t="s">
        <v>49</v>
      </c>
      <c r="B4" s="4" t="s">
        <v>10</v>
      </c>
      <c r="C4" t="s">
        <v>50</v>
      </c>
      <c r="E4" t="str">
        <f>CONCATENATE("&lt;", C4, "&gt;", B4, "&lt;/", C4, "&gt;", CHAR(10))</f>
        <v xml:space="preserve">&lt;mvendor&gt;ThermoFisher Scientific&lt;/mvendor&gt;
</v>
      </c>
    </row>
    <row r="5" spans="1:5" x14ac:dyDescent="0.25">
      <c r="A5" t="s">
        <v>51</v>
      </c>
      <c r="B5" s="4" t="s">
        <v>52</v>
      </c>
      <c r="C5" t="s">
        <v>53</v>
      </c>
      <c r="E5" t="str">
        <f t="shared" ref="E5:E17" si="0">CONCATENATE("&lt;", C5, "&gt;", B5, "&lt;/", C5, "&gt;", CHAR(10))</f>
        <v xml:space="preserve">&lt;imode&gt;electrospray ionization&lt;/imode&gt;
</v>
      </c>
    </row>
    <row r="6" spans="1:5" x14ac:dyDescent="0.25">
      <c r="A6" t="s">
        <v>54</v>
      </c>
      <c r="B6" s="4" t="s">
        <v>55</v>
      </c>
      <c r="C6" t="s">
        <v>56</v>
      </c>
      <c r="E6" t="str">
        <f t="shared" si="0"/>
        <v xml:space="preserve">&lt;polarity&gt;negative&lt;/polarity&gt;
</v>
      </c>
    </row>
    <row r="7" spans="1:5" x14ac:dyDescent="0.25">
      <c r="A7" t="s">
        <v>57</v>
      </c>
      <c r="B7" s="4">
        <v>4500</v>
      </c>
      <c r="C7" t="s">
        <v>58</v>
      </c>
      <c r="E7" t="str">
        <f t="shared" si="0"/>
        <v xml:space="preserve">&lt;vvalue&gt;4500&lt;/vvalue&gt;
</v>
      </c>
    </row>
    <row r="8" spans="1:5" x14ac:dyDescent="0.25">
      <c r="A8" t="s">
        <v>59</v>
      </c>
      <c r="B8" s="4" t="s">
        <v>60</v>
      </c>
      <c r="C8" t="s">
        <v>61</v>
      </c>
      <c r="E8" t="str">
        <f t="shared" si="0"/>
        <v xml:space="preserve">&lt;vunits&gt;V&lt;/vunits&gt;
</v>
      </c>
    </row>
    <row r="9" spans="1:5" x14ac:dyDescent="0.25">
      <c r="A9" t="s">
        <v>62</v>
      </c>
      <c r="B9" s="4" t="s">
        <v>63</v>
      </c>
      <c r="C9" t="s">
        <v>64</v>
      </c>
      <c r="E9" t="str">
        <f t="shared" si="0"/>
        <v xml:space="preserve">&lt;massanalyzer1&gt;quadrupole&lt;/massanalyzer1&gt;
</v>
      </c>
    </row>
    <row r="10" spans="1:5" x14ac:dyDescent="0.25">
      <c r="A10" t="s">
        <v>65</v>
      </c>
      <c r="B10" s="4" t="s">
        <v>66</v>
      </c>
      <c r="C10" t="s">
        <v>67</v>
      </c>
      <c r="E10" t="str">
        <f t="shared" si="0"/>
        <v xml:space="preserve">&lt;massanalyzer2&gt;orbitrap&lt;/massanalyzer2&gt;
</v>
      </c>
    </row>
    <row r="11" spans="1:5" x14ac:dyDescent="0.25">
      <c r="A11" t="s">
        <v>70</v>
      </c>
      <c r="B11" s="4" t="s">
        <v>68</v>
      </c>
      <c r="C11" t="s">
        <v>69</v>
      </c>
      <c r="E11" t="str">
        <f t="shared" si="0"/>
        <v xml:space="preserve">&lt;fragmode&gt;HCD&lt;/fragmode&gt;
</v>
      </c>
    </row>
    <row r="12" spans="1:5" x14ac:dyDescent="0.25">
      <c r="A12" t="s">
        <v>71</v>
      </c>
      <c r="B12" s="4" t="s">
        <v>75</v>
      </c>
      <c r="C12" t="s">
        <v>72</v>
      </c>
      <c r="E12" t="str">
        <f t="shared" si="0"/>
        <v xml:space="preserve">&lt;cevalue&gt;15;30;45&lt;/cevalue&gt;
</v>
      </c>
    </row>
    <row r="13" spans="1:5" x14ac:dyDescent="0.25">
      <c r="A13" t="s">
        <v>73</v>
      </c>
      <c r="B13" s="4" t="s">
        <v>74</v>
      </c>
      <c r="C13" t="s">
        <v>23</v>
      </c>
      <c r="E13" t="str">
        <f t="shared" si="0"/>
        <v xml:space="preserve">&lt;cetype&gt;Stepped&lt;/cetype&gt;
</v>
      </c>
    </row>
    <row r="14" spans="1:5" x14ac:dyDescent="0.25">
      <c r="A14" t="s">
        <v>76</v>
      </c>
      <c r="B14" s="4" t="s">
        <v>77</v>
      </c>
      <c r="C14" t="s">
        <v>78</v>
      </c>
      <c r="E14" t="str">
        <f t="shared" si="0"/>
        <v xml:space="preserve">&lt;ceunits&gt;NCE&lt;/ceunits&gt;
</v>
      </c>
    </row>
    <row r="15" spans="1:5" x14ac:dyDescent="0.25">
      <c r="A15" t="s">
        <v>79</v>
      </c>
      <c r="B15" s="4" t="s">
        <v>80</v>
      </c>
      <c r="C15" t="s">
        <v>79</v>
      </c>
      <c r="E15" t="str">
        <f t="shared" si="0"/>
        <v xml:space="preserve">&lt;detector&gt;inductive detector&lt;/detector&gt;
</v>
      </c>
    </row>
    <row r="16" spans="1:5" x14ac:dyDescent="0.25">
      <c r="A16" t="s">
        <v>101</v>
      </c>
      <c r="B16" s="4" t="s">
        <v>102</v>
      </c>
      <c r="C16" t="s">
        <v>103</v>
      </c>
      <c r="E16" t="str">
        <f t="shared" si="0"/>
        <v xml:space="preserve">&lt;ms2exp&gt;TopN&lt;/ms2exp&gt;
</v>
      </c>
    </row>
    <row r="17" spans="1:5" x14ac:dyDescent="0.25">
      <c r="A17" t="s">
        <v>104</v>
      </c>
      <c r="B17" s="4">
        <v>0.5</v>
      </c>
      <c r="C17" t="s">
        <v>105</v>
      </c>
      <c r="E17" t="str">
        <f t="shared" si="0"/>
        <v xml:space="preserve">&lt;isowidth&gt;0.5&lt;/isowidth&gt;
</v>
      </c>
    </row>
    <row r="18" spans="1:5" x14ac:dyDescent="0.25">
      <c r="E18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6CCF-8BEC-42AF-A631-2EDAB30E3D22}">
  <sheetPr codeName="Sheet6"/>
  <dimension ref="A1:E9"/>
  <sheetViews>
    <sheetView workbookViewId="0">
      <selection activeCell="C6" sqref="C6"/>
    </sheetView>
  </sheetViews>
  <sheetFormatPr defaultRowHeight="15" x14ac:dyDescent="0.25"/>
  <cols>
    <col min="1" max="1" width="28" bestFit="1" customWidth="1"/>
    <col min="2" max="2" width="22.28515625" style="4" bestFit="1" customWidth="1"/>
    <col min="3" max="3" width="14.5703125" bestFit="1" customWidth="1"/>
    <col min="4" max="4" width="11.5703125" bestFit="1" customWidth="1"/>
    <col min="5" max="5" width="60.5703125" bestFit="1" customWidth="1"/>
  </cols>
  <sheetData>
    <row r="1" spans="1:5" ht="18.75" x14ac:dyDescent="0.3">
      <c r="A1" s="3" t="s">
        <v>89</v>
      </c>
      <c r="D1" s="1"/>
    </row>
    <row r="2" spans="1:5" x14ac:dyDescent="0.25">
      <c r="A2" s="2" t="s">
        <v>8</v>
      </c>
      <c r="E2" s="2" t="s">
        <v>9</v>
      </c>
    </row>
    <row r="3" spans="1:5" x14ac:dyDescent="0.25">
      <c r="A3" s="2" t="s">
        <v>6</v>
      </c>
      <c r="B3" s="5" t="s">
        <v>5</v>
      </c>
      <c r="C3" s="2" t="s">
        <v>4</v>
      </c>
      <c r="E3" t="str">
        <f>CONCATENATE("&lt;qcmethod&gt;", CHAR(10))</f>
        <v xml:space="preserve">&lt;qcmethod&gt;
</v>
      </c>
    </row>
    <row r="4" spans="1:5" x14ac:dyDescent="0.25">
      <c r="A4" t="s">
        <v>81</v>
      </c>
      <c r="B4" s="4" t="b">
        <v>1</v>
      </c>
      <c r="C4" t="s">
        <v>82</v>
      </c>
      <c r="E4" t="str">
        <f>CONCATENATE("&lt;", C4, "&gt;", B4, "&lt;/", C4, "&gt;", CHAR(10))</f>
        <v xml:space="preserve">&lt;qcused&gt;TRUE&lt;/qcused&gt;
</v>
      </c>
    </row>
    <row r="5" spans="1:5" x14ac:dyDescent="0.25">
      <c r="A5" t="s">
        <v>83</v>
      </c>
      <c r="B5" s="4" t="b">
        <v>1</v>
      </c>
      <c r="C5" t="s">
        <v>88</v>
      </c>
      <c r="E5" t="str">
        <f>CONCATENATE("&lt;", C5, " name =", CHAR(34), A5, CHAR(34), "&gt;", B5, "&lt;/", C5, "&gt;", CHAR(10))</f>
        <v xml:space="preserve">&lt;qctype name ="Mass Analyzer Calibration"&gt;TRUE&lt;/qctype&gt;
</v>
      </c>
    </row>
    <row r="6" spans="1:5" x14ac:dyDescent="0.25">
      <c r="A6" t="s">
        <v>84</v>
      </c>
      <c r="B6" s="4" t="b">
        <v>1</v>
      </c>
      <c r="C6" t="s">
        <v>88</v>
      </c>
      <c r="E6" t="str">
        <f>CONCATENATE("&lt;", C6, " name =", CHAR(34), A6, CHAR(34), "&gt;", B6, "&lt;/", C6, "&gt;", CHAR(10))</f>
        <v xml:space="preserve">&lt;qctype name ="External Standard Verification"&gt;TRUE&lt;/qctype&gt;
</v>
      </c>
    </row>
    <row r="7" spans="1:5" x14ac:dyDescent="0.25">
      <c r="A7" t="s">
        <v>85</v>
      </c>
      <c r="B7" s="4" t="b">
        <v>0</v>
      </c>
      <c r="C7" t="s">
        <v>88</v>
      </c>
      <c r="E7" t="str">
        <f t="shared" ref="E7:E8" si="0">CONCATENATE("&lt;", C7, " name =", CHAR(34), A7, CHAR(34), "&gt;", B7, "&lt;/", C7, "&gt;", CHAR(10))</f>
        <v xml:space="preserve">&lt;qctype name ="Internal Standard Verification"&gt;FALSE&lt;/qctype&gt;
</v>
      </c>
    </row>
    <row r="8" spans="1:5" x14ac:dyDescent="0.25">
      <c r="A8" t="s">
        <v>87</v>
      </c>
      <c r="B8" s="4" t="b">
        <v>0</v>
      </c>
      <c r="C8" t="s">
        <v>88</v>
      </c>
      <c r="E8" t="str">
        <f t="shared" si="0"/>
        <v xml:space="preserve">&lt;qctype name ="Matrix Standard Verification"&gt;FALSE&lt;/qctype&gt;
</v>
      </c>
    </row>
    <row r="9" spans="1:5" x14ac:dyDescent="0.25">
      <c r="E9" t="s">
        <v>86</v>
      </c>
    </row>
  </sheetData>
  <pageMargins left="0.7" right="0.7" top="0.75" bottom="0.75" header="0.3" footer="0.3"/>
  <ignoredErrors>
    <ignoredError sqref="E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2DED-D957-4D80-BC4C-2B28DBD82358}">
  <sheetPr codeName="Sheet7"/>
  <dimension ref="A1:H13"/>
  <sheetViews>
    <sheetView workbookViewId="0">
      <selection activeCell="H14" sqref="H14"/>
    </sheetView>
  </sheetViews>
  <sheetFormatPr defaultRowHeight="15" x14ac:dyDescent="0.25"/>
  <cols>
    <col min="1" max="1" width="24" bestFit="1" customWidth="1"/>
    <col min="2" max="2" width="34.140625" bestFit="1" customWidth="1"/>
    <col min="3" max="3" width="9" bestFit="1" customWidth="1"/>
    <col min="4" max="4" width="6" bestFit="1" customWidth="1"/>
    <col min="5" max="5" width="16.5703125" bestFit="1" customWidth="1"/>
    <col min="6" max="6" width="14.85546875" bestFit="1" customWidth="1"/>
  </cols>
  <sheetData>
    <row r="1" spans="1:8" ht="18.75" x14ac:dyDescent="0.3">
      <c r="A1" s="3" t="s">
        <v>47</v>
      </c>
    </row>
    <row r="2" spans="1:8" x14ac:dyDescent="0.25">
      <c r="A2" s="2" t="s">
        <v>8</v>
      </c>
      <c r="H2" s="2" t="s">
        <v>9</v>
      </c>
    </row>
    <row r="3" spans="1:8" x14ac:dyDescent="0.25">
      <c r="A3" s="6" t="s">
        <v>128</v>
      </c>
      <c r="B3" s="6" t="s">
        <v>129</v>
      </c>
      <c r="C3" s="6" t="s">
        <v>130</v>
      </c>
      <c r="D3" s="6" t="s">
        <v>131</v>
      </c>
      <c r="E3" s="6" t="s">
        <v>132</v>
      </c>
      <c r="F3" s="6" t="s">
        <v>133</v>
      </c>
      <c r="H3" s="7" t="str">
        <f>_xlfn.CONCAT("&lt;peaks&gt;", CHAR(10))</f>
        <v xml:space="preserve">&lt;peaks&gt;
</v>
      </c>
    </row>
    <row r="4" spans="1:8" x14ac:dyDescent="0.25">
      <c r="A4" t="s">
        <v>108</v>
      </c>
      <c r="B4" t="s">
        <v>109</v>
      </c>
      <c r="C4">
        <v>212.97919999999999</v>
      </c>
      <c r="D4">
        <v>4.5</v>
      </c>
      <c r="E4">
        <v>4.0999999999999996</v>
      </c>
      <c r="F4">
        <v>4.8</v>
      </c>
      <c r="H4" t="str">
        <f>IF(A4="", "", CONCATENATE("&lt;peak count=",CHAR(34), ROW(A4)-3,CHAR(34),"&gt;",CHAR(10),"&lt;",A$3,"&gt;",A4,"&lt;/",A$3,"&gt;",CHAR(10),"&lt;",B$3,"&gt;",B4,"&lt;/",B$3,"&gt;",CHAR(10),"&lt;",C$3,"&gt;",C4,"&lt;/",C$3,"&gt;",CHAR(10),"&lt;",D$3,"&gt;",D4,"&lt;/",D$3,"&gt;",CHAR(10), "&lt;", E$3, "&gt;", E4, "&lt;/", E$3, "&gt;", CHAR(10), "&lt;", F$3, "&gt;", F4, "&lt;/", F$3, "&gt;", CHAR(10), "&lt;/peak&gt;", CHAR(10)))</f>
        <v xml:space="preserve">&lt;peak count="1"&gt;
&lt;name&gt;Perfluorobutanoic acid&lt;/name&gt;
&lt;identifier&gt;YPJUNDFVDDCYIH-UHFFFAOYSA-N&lt;/identifier&gt;
&lt;mz&gt;212.9792&lt;/mz&gt;
&lt;rt&gt;4.5&lt;/rt&gt;
&lt;peak_starttime&gt;4.1&lt;/peak_starttime&gt;
&lt;peak_endtime&gt;4.8&lt;/peak_endtime&gt;
&lt;/peak&gt;
</v>
      </c>
    </row>
    <row r="5" spans="1:8" x14ac:dyDescent="0.25">
      <c r="A5" t="s">
        <v>110</v>
      </c>
      <c r="B5" t="s">
        <v>111</v>
      </c>
      <c r="C5">
        <v>262.976</v>
      </c>
      <c r="D5">
        <v>8.6</v>
      </c>
      <c r="E5">
        <v>8.4</v>
      </c>
      <c r="F5">
        <v>8.9</v>
      </c>
      <c r="H5" t="str">
        <f t="shared" ref="H5:H13" si="0">IF(A5="", "", CONCATENATE("&lt;peak count=",CHAR(34), ROW(A5)-3,CHAR(34),"&gt;",CHAR(10),"&lt;",A$3,"&gt;",A5,"&lt;/",A$3,"&gt;",CHAR(10),"&lt;",B$3,"&gt;",B5,"&lt;/",B$3,"&gt;",CHAR(10),"&lt;",C$3,"&gt;",C5,"&lt;/",C$3,"&gt;",CHAR(10),"&lt;",D$3,"&gt;",D5,"&lt;/",D$3,"&gt;",CHAR(10), "&lt;", E$3, "&gt;", E5, "&lt;/", E$3, "&gt;", CHAR(10), "&lt;", F$3, "&gt;", F5, "&lt;/", F$3, "&gt;", CHAR(10), "&lt;/peak&gt;", CHAR(10)))</f>
        <v xml:space="preserve">&lt;peak count="2"&gt;
&lt;name&gt;Perfluoropentanoic acid&lt;/name&gt;
&lt;identifier&gt;CXZGQIAOTKWCDB-UHFFFAOYSA-N&lt;/identifier&gt;
&lt;mz&gt;262.976&lt;/mz&gt;
&lt;rt&gt;8.6&lt;/rt&gt;
&lt;peak_starttime&gt;8.4&lt;/peak_starttime&gt;
&lt;peak_endtime&gt;8.9&lt;/peak_endtime&gt;
&lt;/peak&gt;
</v>
      </c>
    </row>
    <row r="6" spans="1:8" x14ac:dyDescent="0.25">
      <c r="A6" t="s">
        <v>112</v>
      </c>
      <c r="B6" t="s">
        <v>113</v>
      </c>
      <c r="C6">
        <v>312.97280000000001</v>
      </c>
      <c r="D6">
        <v>10.8</v>
      </c>
      <c r="E6">
        <v>10.5</v>
      </c>
      <c r="F6">
        <v>11.1</v>
      </c>
      <c r="H6" t="str">
        <f t="shared" si="0"/>
        <v xml:space="preserve">&lt;peak count="3"&gt;
&lt;name&gt;Perfluorohexanoic acid&lt;/name&gt;
&lt;identifier&gt;PXUULQAPEKKVAH-UHFFFAOYSA-N&lt;/identifier&gt;
&lt;mz&gt;312.9728&lt;/mz&gt;
&lt;rt&gt;10.8&lt;/rt&gt;
&lt;peak_starttime&gt;10.5&lt;/peak_starttime&gt;
&lt;peak_endtime&gt;11.1&lt;/peak_endtime&gt;
&lt;/peak&gt;
</v>
      </c>
    </row>
    <row r="7" spans="1:8" x14ac:dyDescent="0.25">
      <c r="A7" t="s">
        <v>114</v>
      </c>
      <c r="B7" t="s">
        <v>115</v>
      </c>
      <c r="C7">
        <v>362.96960000000001</v>
      </c>
      <c r="D7">
        <v>12.09</v>
      </c>
      <c r="E7">
        <v>11.9</v>
      </c>
      <c r="F7">
        <v>12.35</v>
      </c>
      <c r="H7" t="str">
        <f t="shared" si="0"/>
        <v xml:space="preserve">&lt;peak count="4"&gt;
&lt;name&gt;Perfluoroheptanoic acid&lt;/name&gt;
&lt;identifier&gt;ZWBAMYVPMDSJGQ-UHFFFAOYSA-N&lt;/identifier&gt;
&lt;mz&gt;362.9696&lt;/mz&gt;
&lt;rt&gt;12.09&lt;/rt&gt;
&lt;peak_starttime&gt;11.9&lt;/peak_starttime&gt;
&lt;peak_endtime&gt;12.35&lt;/peak_endtime&gt;
&lt;/peak&gt;
</v>
      </c>
    </row>
    <row r="8" spans="1:8" x14ac:dyDescent="0.25">
      <c r="A8" t="s">
        <v>116</v>
      </c>
      <c r="B8" t="s">
        <v>117</v>
      </c>
      <c r="C8">
        <v>412.96640000000002</v>
      </c>
      <c r="D8">
        <v>13.05</v>
      </c>
      <c r="E8">
        <v>12.8</v>
      </c>
      <c r="F8">
        <v>13.3</v>
      </c>
      <c r="H8" t="str">
        <f t="shared" si="0"/>
        <v xml:space="preserve">&lt;peak count="5"&gt;
&lt;name&gt;Perfluorooctanoic acid&lt;/name&gt;
&lt;identifier&gt;SNGREZUHAYWORS-UHFFFAOYSA-N&lt;/identifier&gt;
&lt;mz&gt;412.9664&lt;/mz&gt;
&lt;rt&gt;13.05&lt;/rt&gt;
&lt;peak_starttime&gt;12.8&lt;/peak_starttime&gt;
&lt;peak_endtime&gt;13.3&lt;/peak_endtime&gt;
&lt;/peak&gt;
</v>
      </c>
    </row>
    <row r="9" spans="1:8" x14ac:dyDescent="0.25">
      <c r="A9" t="s">
        <v>118</v>
      </c>
      <c r="B9" t="s">
        <v>119</v>
      </c>
      <c r="C9">
        <v>462.96319999999997</v>
      </c>
      <c r="D9">
        <v>13.8</v>
      </c>
      <c r="E9">
        <v>13.6</v>
      </c>
      <c r="F9">
        <v>14.1</v>
      </c>
      <c r="H9" t="str">
        <f t="shared" si="0"/>
        <v xml:space="preserve">&lt;peak count="6"&gt;
&lt;name&gt;Perfluorononanoic acid&lt;/name&gt;
&lt;identifier&gt;UZUFPBIDKMEQEQ-UHFFFAOYSA-N&lt;/identifier&gt;
&lt;mz&gt;462.9632&lt;/mz&gt;
&lt;rt&gt;13.8&lt;/rt&gt;
&lt;peak_starttime&gt;13.6&lt;/peak_starttime&gt;
&lt;peak_endtime&gt;14.1&lt;/peak_endtime&gt;
&lt;/peak&gt;
</v>
      </c>
    </row>
    <row r="10" spans="1:8" x14ac:dyDescent="0.25">
      <c r="A10" t="s">
        <v>120</v>
      </c>
      <c r="B10" t="s">
        <v>121</v>
      </c>
      <c r="C10">
        <v>512.96</v>
      </c>
      <c r="D10">
        <v>14.5</v>
      </c>
      <c r="E10">
        <v>14.3</v>
      </c>
      <c r="F10">
        <v>14.8</v>
      </c>
      <c r="H10" t="str">
        <f t="shared" si="0"/>
        <v xml:space="preserve">&lt;peak count="7"&gt;
&lt;name&gt;Perfluorodecanoic acid&lt;/name&gt;
&lt;identifier&gt;PCIUEQPBYFRTEM-UHFFFAOYSA-N&lt;/identifier&gt;
&lt;mz&gt;512.96&lt;/mz&gt;
&lt;rt&gt;14.5&lt;/rt&gt;
&lt;peak_starttime&gt;14.3&lt;/peak_starttime&gt;
&lt;peak_endtime&gt;14.8&lt;/peak_endtime&gt;
&lt;/peak&gt;
</v>
      </c>
    </row>
    <row r="11" spans="1:8" x14ac:dyDescent="0.25">
      <c r="A11" t="s">
        <v>122</v>
      </c>
      <c r="B11" t="s">
        <v>123</v>
      </c>
      <c r="C11">
        <v>612.95370000000003</v>
      </c>
      <c r="D11">
        <v>15.6</v>
      </c>
      <c r="E11">
        <v>15.4</v>
      </c>
      <c r="F11">
        <v>15.8</v>
      </c>
      <c r="H11" t="str">
        <f t="shared" si="0"/>
        <v xml:space="preserve">&lt;peak count="8"&gt;
&lt;name&gt;Perfluorododecanoic acid&lt;/name&gt;
&lt;identifier&gt;CXGONMQFMIYUJR-UHFFFAOYSA-N&lt;/identifier&gt;
&lt;mz&gt;612.9537&lt;/mz&gt;
&lt;rt&gt;15.6&lt;/rt&gt;
&lt;peak_starttime&gt;15.4&lt;/peak_starttime&gt;
&lt;peak_endtime&gt;15.8&lt;/peak_endtime&gt;
&lt;/peak&gt;
</v>
      </c>
    </row>
    <row r="12" spans="1:8" x14ac:dyDescent="0.25">
      <c r="A12" t="s">
        <v>124</v>
      </c>
      <c r="B12" t="s">
        <v>125</v>
      </c>
      <c r="C12">
        <v>562.95680000000004</v>
      </c>
      <c r="D12">
        <v>15.1</v>
      </c>
      <c r="E12">
        <v>14.9</v>
      </c>
      <c r="F12">
        <v>15.4</v>
      </c>
      <c r="H12" t="str">
        <f t="shared" si="0"/>
        <v xml:space="preserve">&lt;peak count="9"&gt;
&lt;name&gt;Perfluoroundecanoic acid&lt;/name&gt;
&lt;identifier&gt;SIDINRCMMRKXGQ-UHFFFAOYSA-N&lt;/identifier&gt;
&lt;mz&gt;562.9568&lt;/mz&gt;
&lt;rt&gt;15.1&lt;/rt&gt;
&lt;peak_starttime&gt;14.9&lt;/peak_starttime&gt;
&lt;peak_endtime&gt;15.4&lt;/peak_endtime&gt;
&lt;/peak&gt;
</v>
      </c>
    </row>
    <row r="13" spans="1:8" x14ac:dyDescent="0.25">
      <c r="A13" t="s">
        <v>126</v>
      </c>
      <c r="B13" t="s">
        <v>127</v>
      </c>
      <c r="C13">
        <v>662.95050000000003</v>
      </c>
      <c r="D13">
        <v>16</v>
      </c>
      <c r="E13">
        <v>15.8</v>
      </c>
      <c r="F13">
        <v>16.3</v>
      </c>
      <c r="H13" t="str">
        <f t="shared" si="0"/>
        <v xml:space="preserve">&lt;peak count="10"&gt;
&lt;name&gt;Perfluorotridecanoic acid&lt;/name&gt;
&lt;identifier&gt;LVDGGZAZAYHXEY-UHFFFAOYSA-N&lt;/identifier&gt;
&lt;mz&gt;662.9505&lt;/mz&gt;
&lt;rt&gt;16&lt;/rt&gt;
&lt;peak_starttime&gt;15.8&lt;/peak_starttime&gt;
&lt;peak_endtime&gt;16.3&lt;/peak_endtime&gt;
&lt;/peak&gt;
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0483-F035-4559-9986-E71E8FB8B114}">
  <sheetPr codeName="Sheet2"/>
  <dimension ref="A1"/>
  <sheetViews>
    <sheetView tabSelected="1" zoomScale="70" zoomScaleNormal="70" workbookViewId="0">
      <selection activeCell="D1" sqref="D1"/>
    </sheetView>
  </sheetViews>
  <sheetFormatPr defaultRowHeight="15" x14ac:dyDescent="0.25"/>
  <cols>
    <col min="1" max="1" width="111.7109375" style="1" customWidth="1"/>
  </cols>
  <sheetData>
    <row r="1" spans="1:1" ht="409.5" x14ac:dyDescent="0.25">
      <c r="A1" s="1" t="str">
        <f>_xlfn.CONCAT("&lt;metadata&gt;", CHAR(10), "&lt;method&gt;", CHAR(10), Sample_Input!E3:E8, CHAR(10), Chromatography_Input!E3:E20, CHAR(10), 'Mass Spectrometry_Input'!E3:E18, CHAR(10), 'QC Method_Input'!E3:E9, CHAR(10), "&lt;/method&gt;", CHAR(10), Peaks_Input!H3:H100, CHAR(10), "&lt;/peaks&gt;", CHAR(10), "&lt;/metadata&gt;", CHAR(10))</f>
        <v xml:space="preserve">&lt;metadata&gt;
&lt;method&gt;
&lt;sample&gt;
&lt;filename&gt;PFAC30PAR_PFCA2.mzML&lt;/filename&gt;
&lt;description&gt;3M 3% Lightwater AFFF&lt;/description&gt;
&lt;class&gt;AFFF&lt;/class&gt;
&lt;submitter&gt;Ammonium Acetate&lt;/submitter&gt;
&lt;/sample&gt;
&lt;chromatography&gt;
&lt;cetype&gt;LC&lt;/cetype&gt;
&lt;cvendor&gt;ThermoFisher Scientific&lt;/cvendor&gt;
&lt;mp1solvent&gt;Water&lt;/mp1solvent&gt;
&lt;mp1add&gt;Ammonium Acetate&lt;/mp1add&gt;
&lt;mp1add&gt;Methanol&lt;/mp1add&gt;
&lt;mp2add&gt;Ammonium Acetate&lt;/mp2add&gt;
&lt;mp3solvent&gt;none&lt;/mp3solvent&gt;
&lt;mp3add&gt;none&lt;/mp3add&gt;
&lt;mp4solvent&gt;none&lt;/mp4solvent&gt;
&lt;mp4add&gt;none&lt;/mp4add&gt;
&lt;colvender&gt;Agilent Technologies&lt;/colvender&gt;
&lt;colname&gt;Poroshell C18&lt;/colname&gt;
&lt;colchemistry&gt;C18&lt;/colchemistry&gt;
&lt;colid&gt;2.1&lt;/colid&gt;
&lt;collen&gt;150&lt;/collen&gt;
&lt;coldp&gt;1.8&lt;/coldp&gt;
&lt;/chromatography&gt;
&lt;massspectrometry&gt;
&lt;mvendor&gt;ThermoFisher Scientific&lt;/mvendor&gt;
&lt;imode&gt;electrospray ionization&lt;/imode&gt;
&lt;polarity&gt;negative&lt;/polarity&gt;
&lt;vvalue&gt;4500&lt;/vvalue&gt;
&lt;vunits&gt;V&lt;/vunits&gt;
&lt;massanalyzer1&gt;quadrupole&lt;/massanalyzer1&gt;
&lt;massanalyzer2&gt;orbitrap&lt;/massanalyzer2&gt;
&lt;fragmode&gt;HCD&lt;/fragmode&gt;
&lt;cevalue&gt;15;30;45&lt;/cevalue&gt;
&lt;cetype&gt;Stepped&lt;/cetype&gt;
&lt;ceunits&gt;NCE&lt;/ceunits&gt;
&lt;detector&gt;inductive detector&lt;/detector&gt;
&lt;ms2exp&gt;TopN&lt;/ms2exp&gt;
&lt;isowidth&gt;0.5&lt;/isowidth&gt;
&lt;/massspectrometry&gt;
&lt;qcmethod&gt;
&lt;qcused&gt;TRUE&lt;/qcused&gt;
&lt;qctype name ="Mass Analyzer Calibration"&gt;TRUE&lt;/qctype&gt;
&lt;qctype name ="External Standard Verification"&gt;TRUE&lt;/qctype&gt;
&lt;qctype name ="Internal Standard Verification"&gt;FALSE&lt;/qctype&gt;
&lt;qctype name ="Matrix Standard Verification"&gt;FALSE&lt;/qctype&gt;
&lt;/qcmethod&gt;
&lt;/method&gt;
&lt;peaks&gt;
&lt;peak count="1"&gt;
&lt;name&gt;Perfluorobutanoic acid&lt;/name&gt;
&lt;identifier&gt;YPJUNDFVDDCYIH-UHFFFAOYSA-N&lt;/identifier&gt;
&lt;mz&gt;212.9792&lt;/mz&gt;
&lt;rt&gt;4.5&lt;/rt&gt;
&lt;peak_starttime&gt;4.1&lt;/peak_starttime&gt;
&lt;peak_endtime&gt;4.8&lt;/peak_endtime&gt;
&lt;/peak&gt;
&lt;peak count="2"&gt;
&lt;name&gt;Perfluoropentanoic acid&lt;/name&gt;
&lt;identifier&gt;CXZGQIAOTKWCDB-UHFFFAOYSA-N&lt;/identifier&gt;
&lt;mz&gt;262.976&lt;/mz&gt;
&lt;rt&gt;8.6&lt;/rt&gt;
&lt;peak_starttime&gt;8.4&lt;/peak_starttime&gt;
&lt;peak_endtime&gt;8.9&lt;/peak_endtime&gt;
&lt;/peak&gt;
&lt;peak count="3"&gt;
&lt;name&gt;Perfluorohexanoic acid&lt;/name&gt;
&lt;identifier&gt;PXUULQAPEKKVAH-UHFFFAOYSA-N&lt;/identifier&gt;
&lt;mz&gt;312.9728&lt;/mz&gt;
&lt;rt&gt;10.8&lt;/rt&gt;
&lt;peak_starttime&gt;10.5&lt;/peak_starttime&gt;
&lt;peak_endtime&gt;11.1&lt;/peak_endtime&gt;
&lt;/peak&gt;
&lt;peak count="4"&gt;
&lt;name&gt;Perfluoroheptanoic acid&lt;/name&gt;
&lt;identifier&gt;ZWBAMYVPMDSJGQ-UHFFFAOYSA-N&lt;/identifier&gt;
&lt;mz&gt;362.9696&lt;/mz&gt;
&lt;rt&gt;12.09&lt;/rt&gt;
&lt;peak_starttime&gt;11.9&lt;/peak_starttime&gt;
&lt;peak_endtime&gt;12.35&lt;/peak_endtime&gt;
&lt;/peak&gt;
&lt;peak count="5"&gt;
&lt;name&gt;Perfluorooctanoic acid&lt;/name&gt;
&lt;identifier&gt;SNGREZUHAYWORS-UHFFFAOYSA-N&lt;/identifier&gt;
&lt;mz&gt;412.9664&lt;/mz&gt;
&lt;rt&gt;13.05&lt;/rt&gt;
&lt;peak_starttime&gt;12.8&lt;/peak_starttime&gt;
&lt;peak_endtime&gt;13.3&lt;/peak_endtime&gt;
&lt;/peak&gt;
&lt;peak count="6"&gt;
&lt;name&gt;Perfluorononanoic acid&lt;/name&gt;
&lt;identifier&gt;UZUFPBIDKMEQEQ-UHFFFAOYSA-N&lt;/identifier&gt;
&lt;mz&gt;462.9632&lt;/mz&gt;
&lt;rt&gt;13.8&lt;/rt&gt;
&lt;peak_starttime&gt;13.6&lt;/peak_starttime&gt;
&lt;peak_endtime&gt;14.1&lt;/peak_endtime&gt;
&lt;/peak&gt;
&lt;peak count="7"&gt;
&lt;name&gt;Perfluorodecanoic acid&lt;/name&gt;
&lt;identifier&gt;PCIUEQPBYFRTEM-UHFFFAOYSA-N&lt;/identifier&gt;
&lt;mz&gt;512.96&lt;/mz&gt;
&lt;rt&gt;14.5&lt;/rt&gt;
&lt;peak_starttime&gt;14.3&lt;/peak_starttime&gt;
&lt;peak_endtime&gt;14.8&lt;/peak_endtime&gt;
&lt;/peak&gt;
&lt;peak count="8"&gt;
&lt;name&gt;Perfluorododecanoic acid&lt;/name&gt;
&lt;identifier&gt;CXGONMQFMIYUJR-UHFFFAOYSA-N&lt;/identifier&gt;
&lt;mz&gt;612.9537&lt;/mz&gt;
&lt;rt&gt;15.6&lt;/rt&gt;
&lt;peak_starttime&gt;15.4&lt;/peak_starttime&gt;
&lt;peak_endtime&gt;15.8&lt;/peak_endtime&gt;
&lt;/peak&gt;
&lt;peak count="9"&gt;
&lt;name&gt;Perfluoroundecanoic acid&lt;/name&gt;
&lt;identifier&gt;SIDINRCMMRKXGQ-UHFFFAOYSA-N&lt;/identifier&gt;
&lt;mz&gt;562.9568&lt;/mz&gt;
&lt;rt&gt;15.1&lt;/rt&gt;
&lt;peak_starttime&gt;14.9&lt;/peak_starttime&gt;
&lt;peak_endtime&gt;15.4&lt;/peak_endtime&gt;
&lt;/peak&gt;
&lt;peak count="10"&gt;
&lt;name&gt;Perfluorotridecanoic acid&lt;/name&gt;
&lt;identifier&gt;LVDGGZAZAYHXEY-UHFFFAOYSA-N&lt;/identifier&gt;
&lt;mz&gt;662.9505&lt;/mz&gt;
&lt;rt&gt;16&lt;/rt&gt;
&lt;peak_starttime&gt;15.8&lt;/peak_starttime&gt;
&lt;peak_endtime&gt;16.3&lt;/peak_endtime&gt;
&lt;/peak&gt;
&lt;/peaks&gt;
&lt;/metadata&gt;
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sertXML">
                <anchor moveWithCells="1" sizeWithCells="1">
                  <from>
                    <xdr:col>1</xdr:col>
                    <xdr:colOff>161925</xdr:colOff>
                    <xdr:row>0</xdr:row>
                    <xdr:rowOff>314325</xdr:rowOff>
                  </from>
                  <to>
                    <xdr:col>6</xdr:col>
                    <xdr:colOff>295275</xdr:colOff>
                    <xdr:row>0</xdr:row>
                    <xdr:rowOff>1733550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Sample_Input</vt:lpstr>
      <vt:lpstr>Chromatography_Input</vt:lpstr>
      <vt:lpstr>Mass Spectrometry_Input</vt:lpstr>
      <vt:lpstr>QC Method_Input</vt:lpstr>
      <vt:lpstr>Peaks_Input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Place, Benjamin J. (Fed)</dc:creator>
  <cp:lastModifiedBy>Place, Benjamin J. (Fed)</cp:lastModifiedBy>
  <dcterms:created xsi:type="dcterms:W3CDTF">2021-05-27T17:33:27Z</dcterms:created>
  <dcterms:modified xsi:type="dcterms:W3CDTF">2021-06-01T21:42:11Z</dcterms:modified>
</cp:coreProperties>
</file>