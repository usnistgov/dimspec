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C5279D81-7768-4018-A983-AFA7490966C5}" xr6:coauthVersionLast="47" xr6:coauthVersionMax="47" xr10:uidLastSave="{00000000-0000-0000-0000-000000000000}"/>
  <bookViews>
    <workbookView xWindow="25080" yWindow="-120" windowWidth="25440" windowHeight="15990" firstSheet="9" activeTab="11" xr2:uid="{90B8E717-CD35-4EBB-A047-3C52215825F8}"/>
  </bookViews>
  <sheets>
    <sheet name="QC_Check" sheetId="13" state="hidden" r:id="rId1"/>
    <sheet name="Run" sheetId="10" r:id="rId2"/>
    <sheet name="Input_Validation" sheetId="11" state="hidden" r:id="rId3"/>
    <sheet name="Sample_Input" sheetId="5" r:id="rId4"/>
    <sheet name="Import" sheetId="12" state="hidden" r:id="rId5"/>
    <sheet name="Chromatography_Input" sheetId="1" r:id="rId6"/>
    <sheet name="Mass Spectrometry_Input" sheetId="3" r:id="rId7"/>
    <sheet name="QC Method_Input" sheetId="4" r:id="rId8"/>
    <sheet name="Peaks_Input" sheetId="8" r:id="rId9"/>
    <sheet name="Ann_Perfluorohexanoic acid" sheetId="63" r:id="rId10"/>
    <sheet name="Ann_Perfluoroheptanoic acid" sheetId="55" r:id="rId11"/>
    <sheet name="Ann_Perfluorooctanoic acid" sheetId="56" r:id="rId12"/>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542E55C-6B8F-4B3D-8940-BA94E322EFCC}">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FFC24D-CEB0-4751-AB15-8F52415E8424}">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667863F-1004-4885-B3A4-29D8D20BCDE8}">
      <text/>
    </comment>
  </commentList>
</comments>
</file>

<file path=xl/sharedStrings.xml><?xml version="1.0" encoding="utf-8"?>
<sst xmlns="http://schemas.openxmlformats.org/spreadsheetml/2006/main" count="1181" uniqueCount="384">
  <si>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</si>
  <si>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</si>
  <si>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</si>
  <si>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</si>
  <si>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</si>
  <si>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</si>
  <si>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</si>
  <si>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</si>
  <si>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</si>
  <si>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</si>
  <si>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</si>
  <si>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</si>
  <si>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</si>
  <si>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</si>
  <si>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</si>
  <si>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</si>
  <si>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</si>
  <si>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</si>
  <si>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</si>
  <si>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</si>
  <si>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</si>
  <si>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</si>
  <si>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</si>
  <si>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</si>
  <si>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</si>
  <si>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</si>
  <si>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</si>
  <si>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</si>
  <si>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</si>
  <si>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</si>
  <si>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</si>
  <si>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</si>
  <si>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</si>
  <si>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</si>
  <si>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</si>
  <si>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</si>
  <si>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</si>
  <si>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</si>
  <si>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</si>
  <si>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</si>
  <si>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</si>
  <si>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</si>
  <si>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</si>
  <si>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</si>
  <si>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</si>
  <si>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</si>
  <si>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</si>
  <si>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</si>
  <si>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</si>
  <si>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</si>
  <si>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</si>
  <si>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</si>
  <si>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</si>
  <si>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</si>
  <si>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</si>
  <si>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</si>
  <si>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</si>
  <si>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</si>
  <si>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</si>
  <si>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</si>
  <si>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</si>
  <si>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</si>
  <si>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</si>
  <si>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</si>
  <si>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</si>
  <si>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</si>
  <si>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</si>
  <si>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</si>
  <si>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</si>
  <si>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</si>
  <si>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</si>
  <si>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</si>
  <si>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</si>
  <si>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</si>
  <si>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</si>
  <si>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</si>
  <si>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</si>
  <si>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</si>
  <si>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</si>
  <si>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</si>
  <si>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</si>
  <si>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</si>
  <si>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</si>
  <si>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</si>
  <si>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</si>
  <si>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</si>
  <si>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</si>
  <si>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</si>
  <si>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</si>
  <si>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</si>
  <si>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</si>
  <si>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</si>
  <si>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</si>
  <si>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</si>
  <si>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</si>
  <si>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</si>
  <si>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</si>
  <si>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</si>
  <si>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</si>
  <si>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</si>
  <si>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</si>
  <si>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</si>
  <si>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</si>
  <si>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</si>
  <si>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</si>
  <si>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</si>
  <si>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</si>
  <si>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</si>
  <si>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</si>
  <si>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</si>
  <si>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</si>
  <si>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</si>
  <si>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</si>
  <si>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</si>
  <si>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</si>
  <si>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</si>
  <si>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</si>
  <si>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</si>
  <si>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</si>
  <si>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</si>
  <si>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</si>
  <si>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</si>
  <si>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</si>
  <si>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</si>
  <si>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</si>
  <si>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</si>
  <si>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</si>
  <si>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</si>
  <si>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</si>
  <si>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</si>
  <si>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</si>
  <si>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</si>
  <si>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</si>
  <si>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</si>
  <si>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</si>
  <si>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</si>
  <si>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</si>
  <si>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</si>
  <si>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</si>
  <si>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</si>
  <si>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</si>
  <si>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</si>
  <si>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</si>
  <si>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</si>
  <si>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</si>
  <si>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</si>
  <si>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</si>
  <si>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</si>
  <si>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</si>
  <si>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</si>
  <si>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</si>
  <si>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</si>
  <si>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</si>
  <si>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</si>
  <si>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</si>
  <si>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</si>
  <si>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</si>
  <si>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</si>
  <si>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</si>
  <si>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</si>
  <si>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</si>
  <si>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</si>
  <si>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</si>
  <si>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</si>
  <si>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</si>
  <si>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</si>
  <si>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</si>
  <si>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</si>
  <si>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</si>
  <si>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</si>
  <si>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</si>
  <si>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</si>
  <si>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</si>
  <si>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</si>
  <si>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</si>
  <si>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</si>
  <si>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</si>
  <si>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</si>
  <si>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</si>
  <si>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</si>
  <si>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</si>
  <si>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</si>
  <si>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</si>
  <si>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</si>
  <si>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</si>
  <si>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</si>
  <si>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</si>
  <si>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</si>
  <si>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</si>
  <si>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</si>
  <si>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</si>
  <si>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</si>
  <si>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</si>
  <si>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</si>
  <si>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</si>
  <si>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</si>
  <si>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</si>
  <si>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</si>
  <si>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</si>
  <si>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</si>
  <si>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</si>
  <si>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</si>
  <si>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</si>
  <si>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</si>
  <si>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</si>
  <si>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</si>
  <si>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</si>
  <si>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</si>
  <si>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</si>
  <si>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</si>
  <si>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</si>
  <si>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</si>
  <si>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</si>
  <si>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</si>
  <si>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</si>
  <si>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</si>
  <si>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</si>
  <si>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</si>
  <si>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</si>
  <si>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</si>
  <si>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</si>
  <si>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</si>
  <si>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</si>
  <si>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</si>
  <si>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</si>
  <si>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</si>
  <si>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</si>
  <si>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</si>
  <si>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</si>
  <si>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</si>
  <si>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</si>
  <si>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</si>
  <si>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</si>
  <si>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</si>
  <si>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</si>
  <si>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</si>
  <si>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</si>
  <si>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</si>
  <si>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</si>
  <si>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</si>
  <si>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</si>
  <si>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</si>
  <si>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</si>
  <si>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</si>
  <si>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</si>
  <si>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</si>
  <si>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</si>
  <si>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</si>
  <si>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</si>
  <si>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</si>
  <si>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</si>
  <si>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</si>
  <si>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</si>
  <si>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</si>
  <si>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</si>
  <si>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</si>
  <si>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</si>
  <si>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</si>
  <si>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</si>
  <si>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</si>
  <si>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</si>
  <si>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</si>
  <si>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4 - Unequivocal molecular formula</t>
  </si>
  <si>
    <t>Level 1b - Indistinguishable from reference standard</t>
  </si>
  <si>
    <t>Level 2a - Probable by library spectrum match</t>
  </si>
  <si>
    <t>Level 1a - Confirmed by reference standard</t>
  </si>
  <si>
    <t>Level 2b - Probable by diagnostic fragmentation evidence</t>
  </si>
  <si>
    <t>Level 2c - Probable by diagnostic homologue evidence</t>
  </si>
  <si>
    <t>Level 3a - Positional isomer candidates</t>
  </si>
  <si>
    <t>Level 3b - Fragmentation-based candidate</t>
  </si>
  <si>
    <t>Level 5a - PFAS suspect screening exact mass match</t>
  </si>
  <si>
    <t>Level 5b - Nontarget PFAS exact mass of interest</t>
  </si>
  <si>
    <t>The confidence level of the identification, based on the Charbonnet et al (DOI TBD)</t>
  </si>
  <si>
    <t>Method Reporting Tool for Non-Targeted Analyses of Per- and Polyfluoroalkyl Substances</t>
  </si>
  <si>
    <t>Version 1.5P updated 3/25/2022 BJP</t>
  </si>
  <si>
    <t>Level 3d - Circumstantial candidate based on homologues</t>
  </si>
  <si>
    <t>Level 3c - Circumstantial candidate based on fragmentation</t>
  </si>
  <si>
    <t>Reference Standard for PFAS</t>
  </si>
  <si>
    <t>bjp@nist.gov</t>
  </si>
  <si>
    <t>UltiMate 3000</t>
  </si>
  <si>
    <t>Poroshell C18</t>
  </si>
  <si>
    <t>C18</t>
  </si>
  <si>
    <t>Q-Exactive</t>
  </si>
  <si>
    <t>electrospray ionization</t>
  </si>
  <si>
    <t>DDA</t>
  </si>
  <si>
    <t>Fragment m/z</t>
  </si>
  <si>
    <t>Fragment Elemental Formula</t>
  </si>
  <si>
    <t>Fragment SMILES</t>
  </si>
  <si>
    <t>Radical?</t>
  </si>
  <si>
    <t>Fragment Citation</t>
  </si>
  <si>
    <t>Perfluorohexanoic acid</t>
  </si>
  <si>
    <t>Perfluoroheptanoic acid</t>
  </si>
  <si>
    <t>Perfluorooctanoic acid</t>
  </si>
  <si>
    <t>C4F9</t>
  </si>
  <si>
    <t>Peak Annotation for Perfluorohexanoic acid</t>
  </si>
  <si>
    <t>C5F11</t>
  </si>
  <si>
    <t>Peak Annotation for Perfluoroheptanoic acid</t>
  </si>
  <si>
    <t>C2F5</t>
  </si>
  <si>
    <t>C3F7</t>
  </si>
  <si>
    <t>C6F13</t>
  </si>
  <si>
    <t>Peak Annotation for Perfluorooctanoic acid</t>
  </si>
  <si>
    <t>C7F15</t>
  </si>
  <si>
    <t>sample</t>
  </si>
  <si>
    <t xml:space="preserve"> </t>
  </si>
  <si>
    <t xml:space="preserve"> PFAC30PAR_PFCA2.mzML</t>
  </si>
  <si>
    <t xml:space="preserve"> Reference Standard for PFAS</t>
  </si>
  <si>
    <t xml:space="preserve"> analytical standard</t>
  </si>
  <si>
    <t xml:space="preserve"> bjp@nist.gov</t>
  </si>
  <si>
    <t>chromatography</t>
  </si>
  <si>
    <t xml:space="preserve"> Liquid Chromatography</t>
  </si>
  <si>
    <t xml:space="preserve"> ThermoFisher Scientific</t>
  </si>
  <si>
    <t xml:space="preserve"> UltiMate 3000</t>
  </si>
  <si>
    <t xml:space="preserve"> water</t>
  </si>
  <si>
    <t xml:space="preserve"> ammonium acetate</t>
  </si>
  <si>
    <t xml:space="preserve"> methanol</t>
  </si>
  <si>
    <t xml:space="preserve"> none</t>
  </si>
  <si>
    <t xml:space="preserve"> Agilent Technologies</t>
  </si>
  <si>
    <t xml:space="preserve"> Poroshell C18</t>
  </si>
  <si>
    <t xml:space="preserve"> C18</t>
  </si>
  <si>
    <t>massspectrometry</t>
  </si>
  <si>
    <t xml:space="preserve"> Q-Exactive</t>
  </si>
  <si>
    <t xml:space="preserve"> electrospray ionization</t>
  </si>
  <si>
    <t xml:space="preserve"> negative</t>
  </si>
  <si>
    <t xml:space="preserve"> V</t>
  </si>
  <si>
    <t xml:space="preserve"> quadrupole</t>
  </si>
  <si>
    <t xml:space="preserve"> orbitrap</t>
  </si>
  <si>
    <t xml:space="preserve"> HCD</t>
  </si>
  <si>
    <t xml:space="preserve"> fixed</t>
  </si>
  <si>
    <t xml:space="preserve"> normalized</t>
  </si>
  <si>
    <t xml:space="preserve"> DDA</t>
  </si>
  <si>
    <t>qcmethod</t>
  </si>
  <si>
    <t xml:space="preserve"> QC Method Used</t>
  </si>
  <si>
    <t>value</t>
  </si>
  <si>
    <t xml:space="preserve"> true</t>
  </si>
  <si>
    <t xml:space="preserve"> Mass Analyzer Calibration</t>
  </si>
  <si>
    <t xml:space="preserve"> External Standard Verification</t>
  </si>
  <si>
    <t xml:space="preserve"> Internal Standard Verification</t>
  </si>
  <si>
    <t xml:space="preserve"> false</t>
  </si>
  <si>
    <t xml:space="preserve"> Matrix Standard Verification</t>
  </si>
  <si>
    <t>peaks</t>
  </si>
  <si>
    <t>peak</t>
  </si>
  <si>
    <t>count</t>
  </si>
  <si>
    <t xml:space="preserve"> Perfluoropentanoic acid</t>
  </si>
  <si>
    <t>identifier</t>
  </si>
  <si>
    <t>ionstate</t>
  </si>
  <si>
    <t xml:space="preserve"> M-H-</t>
  </si>
  <si>
    <t xml:space="preserve"> level 1a - confirmed by reference standard</t>
  </si>
  <si>
    <t xml:space="preserve"> Perfluorohexanoic acid</t>
  </si>
  <si>
    <t xml:space="preserve"> Perfluoroheptanoic acid</t>
  </si>
  <si>
    <t xml:space="preserve"> Perfluorooctanoic acid</t>
  </si>
  <si>
    <t xml:space="preserve"> Perfluorononanoic acid</t>
  </si>
  <si>
    <t xml:space="preserve"> Perfluorodecanoic acid</t>
  </si>
  <si>
    <t xml:space="preserve"> Perfluoroundecanoic acid</t>
  </si>
  <si>
    <t xml:space="preserve"> Perfluorododecanoic acid</t>
  </si>
  <si>
    <t xml:space="preserve"> Perfluorotridecanoic acid</t>
  </si>
  <si>
    <t xml:space="preserve"> Perfluorotetradecanoic acid</t>
  </si>
  <si>
    <t>annotation</t>
  </si>
  <si>
    <t>compound</t>
  </si>
  <si>
    <t>fragment</t>
  </si>
  <si>
    <t>fragment_mz</t>
  </si>
  <si>
    <t>fragment_formula</t>
  </si>
  <si>
    <t xml:space="preserve"> C2F5</t>
  </si>
  <si>
    <t>fragment_SMILES</t>
  </si>
  <si>
    <t xml:space="preserve"> FC-(F)C(F)(F)F</t>
  </si>
  <si>
    <t>fragment_radical</t>
  </si>
  <si>
    <t xml:space="preserve"> C5F11</t>
  </si>
  <si>
    <t xml:space="preserve"> FC(F)(C(F)(F)C(F)(F)F)C(F)(F)C-(F)F</t>
  </si>
  <si>
    <t xml:space="preserve"> C3F7</t>
  </si>
  <si>
    <t xml:space="preserve"> FC-(F)C(F)(F)C(F)(F)F</t>
  </si>
  <si>
    <t xml:space="preserve"> C6F13</t>
  </si>
  <si>
    <t xml:space="preserve"> FC(F)(C(F)(F)C(F)(F)F)C(F)(F)C(F)(F)C-(F)F</t>
  </si>
  <si>
    <t xml:space="preserve"> C4F9</t>
  </si>
  <si>
    <t xml:space="preserve"> FC(F)(C-(F)F)C(F)(F)C(F)(F)F</t>
  </si>
  <si>
    <t xml:space="preserve"> C7F15</t>
  </si>
  <si>
    <t xml:space="preserve"> FC(F)(C(F)(F)C(F)(F)F)C(F)(F)C(F)(F)C(F)(F)C-(F)F</t>
  </si>
  <si>
    <t>PFAC30PAR_PFCA2.mzML</t>
  </si>
  <si>
    <t>level 1a - confirmed by reference standard</t>
  </si>
  <si>
    <t>F[C-](F)C(F)(F)F</t>
  </si>
  <si>
    <t>FC(F)(C(F)(F)C(F)(F)F)C(F)(F)[C-](F)F</t>
  </si>
  <si>
    <t>F[C-](F)C(F)(F)C(F)(F)F</t>
  </si>
  <si>
    <t>FC(F)(C(F)(F)C(F)(F)F)C(F)(F)C(F)(F)[C-](F)F</t>
  </si>
  <si>
    <t>FC(F)([C-](F)F)C(F)(F)C(F)(F)F</t>
  </si>
  <si>
    <t>FC(F)(C(F)(F)C(F)(F)F)C(F)(F)C(F)(F)C(F)(F)[C-](F)F</t>
  </si>
  <si>
    <t>DOI:10.1002/rcm.3274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</si>
</sst>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1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1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1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5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6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8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1</v>
      </c>
    </row>
    <row r="3" spans="1:2" x14ac:dyDescent="0.25">
      <c r="A3" t="s">
        <v>98</v>
      </c>
      <c r="B3" t="b">
        <f>OR(AND(Chromatography_Input!B16="none",COUNTA(Chromatography_Input!B4:B28)=20),AND(Chromatography_Input!B16&lt;&gt;"none", COUNTA(Chromatography_Input!B4:B27)=24))</f>
        <v>1</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1</v>
      </c>
    </row>
    <row r="5" spans="1:2" x14ac:dyDescent="0.25">
      <c r="A5" t="s">
        <v>100</v>
      </c>
      <c r="B5" t="b">
        <f>IF(COUNTA('QC Method_Input'!B4:B8)=5, TRUE, FALSE)</f>
        <v>1</v>
      </c>
    </row>
    <row r="6" spans="1:2" x14ac:dyDescent="0.25">
      <c r="A6" t="s">
        <v>101</v>
      </c>
      <c r="B6" t="b">
        <f>AND(COUNTA(Peaks_Input!A4:H1048576)&gt;0, COUNTA(Peaks_Input!A4:H1048576)= COUNTA(Peaks_Input!A4:A1048576)*8)</f>
        <v>1</v>
      </c>
    </row>
    <row r="7" spans="1:2" x14ac:dyDescent="0.25">
      <c r="A7" t="s">
        <v>253</v>
      </c>
      <c r="B7" t="b">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workbookViewId="0">
      <selection activeCell="B23" sqref="B23"/>
    </sheetView>
  </sheetViews>
  <sheetFormatPr defaultRowHeight="15" x14ac:dyDescent="0.25"/>
  <cols>
    <col min="2" max="2" width="30.140625" customWidth="1"/>
  </cols>
  <sheetData>
    <row r="1" spans="1:3" ht="21" x14ac:dyDescent="0.35">
      <c r="A1" s="6" t="s">
        <v>273</v>
      </c>
    </row>
    <row r="2" spans="1:3" x14ac:dyDescent="0.25">
      <c r="C2" s="12" t="s">
        <v>274</v>
      </c>
    </row>
    <row r="3" spans="1:3" x14ac:dyDescent="0.25">
      <c r="A3" s="1" t="s">
        <v>96</v>
      </c>
    </row>
    <row r="4" spans="1:3" x14ac:dyDescent="0.25">
      <c r="B4" s="1" t="s">
        <v>102</v>
      </c>
      <c r="C4" s="1" t="s">
        <v>103</v>
      </c>
    </row>
    <row r="5" spans="1:3" x14ac:dyDescent="0.25">
      <c r="B5" s="7" t="s">
        <v>97</v>
      </c>
      <c r="C5" t="b">
        <f>QC_Check!B2</f>
        <v>1</v>
      </c>
    </row>
    <row r="6" spans="1:3" x14ac:dyDescent="0.25">
      <c r="B6" s="7" t="s">
        <v>98</v>
      </c>
      <c r="C6" t="b">
        <f>QC_Check!B3</f>
        <v>1</v>
      </c>
    </row>
    <row r="7" spans="1:3" x14ac:dyDescent="0.25">
      <c r="B7" s="7" t="s">
        <v>99</v>
      </c>
      <c r="C7" t="b">
        <f>QC_Check!B4</f>
        <v>1</v>
      </c>
    </row>
    <row r="8" spans="1:3" x14ac:dyDescent="0.25">
      <c r="B8" s="7" t="s">
        <v>100</v>
      </c>
      <c r="C8" t="b">
        <f>QC_Check!B5</f>
        <v>1</v>
      </c>
    </row>
    <row r="9" spans="1:3" x14ac:dyDescent="0.25">
      <c r="B9" s="7" t="s">
        <v>101</v>
      </c>
      <c r="C9" t="b">
        <f>QC_Check!B6</f>
        <v>1</v>
      </c>
    </row>
    <row r="11" spans="1:3" x14ac:dyDescent="0.25">
      <c r="A11" s="1" t="s">
        <v>120</v>
      </c>
    </row>
    <row r="12" spans="1:3" x14ac:dyDescent="0.25">
      <c r="B12" t="s">
        <v>122</v>
      </c>
      <c r="C12" t="b">
        <f>QC_Check!B7</f>
        <v>1</v>
      </c>
    </row>
    <row r="14" spans="1:3" x14ac:dyDescent="0.25">
      <c r="A14" s="1" t="s">
        <v>119</v>
      </c>
    </row>
    <row r="17" spans="1:2" x14ac:dyDescent="0.25">
      <c r="A17" s="1" t="s">
        <v>121</v>
      </c>
    </row>
    <row r="18" spans="1:2" x14ac:dyDescent="0.25">
      <c r="B18" t="s">
        <v>104</v>
      </c>
    </row>
    <row r="20" spans="1:2" x14ac:dyDescent="0.25">
      <c r="A20" s="12"/>
    </row>
    <row r="21" spans="1:2" x14ac:dyDescent="0.25">
      <c r="A21" s="12"/>
    </row>
    <row r="23" spans="1:2" x14ac:dyDescent="0.25">
      <c r="A23" s="24" t="s">
        <v>257</v>
      </c>
    </row>
    <row r="24" spans="1:2" x14ac:dyDescent="0.25">
      <c r="B24" t="s">
        <v>258</v>
      </c>
    </row>
    <row r="26" spans="1:2" x14ac:dyDescent="0.25">
      <c r="B26" t="s">
        <v>259</v>
      </c>
    </row>
    <row r="28" spans="1:2" x14ac:dyDescent="0.25">
      <c r="B28" t="s">
        <v>260</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AG11" sqref="AG11"/>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123</v>
      </c>
      <c r="E1" t="s">
        <v>1</v>
      </c>
      <c r="F1" t="s">
        <v>2</v>
      </c>
      <c r="G1" t="s">
        <v>8</v>
      </c>
      <c r="H1" t="s">
        <v>9</v>
      </c>
      <c r="I1" t="s">
        <v>10</v>
      </c>
      <c r="J1" t="s">
        <v>11</v>
      </c>
      <c r="K1" t="s">
        <v>12</v>
      </c>
      <c r="L1" t="s">
        <v>13</v>
      </c>
      <c r="M1" t="s">
        <v>169</v>
      </c>
      <c r="N1" t="s">
        <v>170</v>
      </c>
      <c r="O1" t="s">
        <v>137</v>
      </c>
      <c r="P1" t="s">
        <v>140</v>
      </c>
      <c r="Q1" t="s">
        <v>31</v>
      </c>
      <c r="R1" t="s">
        <v>32</v>
      </c>
      <c r="S1" t="s">
        <v>33</v>
      </c>
      <c r="T1" t="s">
        <v>36</v>
      </c>
      <c r="U1" t="s">
        <v>39</v>
      </c>
      <c r="V1" t="s">
        <v>42</v>
      </c>
      <c r="W1" t="s">
        <v>176</v>
      </c>
      <c r="X1" t="s">
        <v>178</v>
      </c>
      <c r="Y1" t="s">
        <v>179</v>
      </c>
      <c r="Z1" t="s">
        <v>58</v>
      </c>
      <c r="AA1" t="s">
        <v>105</v>
      </c>
      <c r="AB1" t="s">
        <v>47</v>
      </c>
      <c r="AC1" t="s">
        <v>48</v>
      </c>
      <c r="AD1" t="s">
        <v>49</v>
      </c>
      <c r="AE1" t="s">
        <v>50</v>
      </c>
      <c r="AF1" t="s">
        <v>183</v>
      </c>
      <c r="AG1" t="s">
        <v>261</v>
      </c>
    </row>
    <row r="2" spans="1:33" ht="18.75" customHeight="1" x14ac:dyDescent="0.25">
      <c r="A2" t="s">
        <v>195</v>
      </c>
      <c r="B2" t="s">
        <v>196</v>
      </c>
      <c r="C2" t="s">
        <v>197</v>
      </c>
      <c r="D2" t="s">
        <v>198</v>
      </c>
      <c r="E2" t="s">
        <v>199</v>
      </c>
      <c r="F2" t="s">
        <v>200</v>
      </c>
      <c r="G2" t="s">
        <v>201</v>
      </c>
      <c r="H2" t="s">
        <v>202</v>
      </c>
      <c r="I2" t="s">
        <v>203</v>
      </c>
      <c r="J2" t="s">
        <v>204</v>
      </c>
      <c r="K2" t="s">
        <v>205</v>
      </c>
      <c r="L2" t="s">
        <v>206</v>
      </c>
      <c r="M2" t="s">
        <v>207</v>
      </c>
      <c r="N2" t="s">
        <v>208</v>
      </c>
      <c r="O2" t="s">
        <v>209</v>
      </c>
      <c r="P2" t="s">
        <v>210</v>
      </c>
      <c r="Q2" t="s">
        <v>211</v>
      </c>
      <c r="R2" t="s">
        <v>212</v>
      </c>
      <c r="S2" t="s">
        <v>213</v>
      </c>
      <c r="T2" t="s">
        <v>214</v>
      </c>
      <c r="U2" t="s">
        <v>215</v>
      </c>
      <c r="V2" t="s">
        <v>216</v>
      </c>
      <c r="W2" t="s">
        <v>217</v>
      </c>
      <c r="X2" t="s">
        <v>218</v>
      </c>
      <c r="Y2" t="s">
        <v>219</v>
      </c>
      <c r="Z2" s="11" t="s">
        <v>226</v>
      </c>
      <c r="AA2" s="11" t="s">
        <v>221</v>
      </c>
      <c r="AB2" s="11" t="s">
        <v>222</v>
      </c>
      <c r="AC2" s="11" t="s">
        <v>223</v>
      </c>
      <c r="AD2" s="11" t="s">
        <v>224</v>
      </c>
      <c r="AE2" s="11" t="s">
        <v>225</v>
      </c>
      <c r="AF2" t="s">
        <v>220</v>
      </c>
      <c r="AG2" s="11" t="s">
        <v>272</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243</v>
      </c>
      <c r="S3" t="s">
        <v>34</v>
      </c>
      <c r="T3" t="s">
        <v>37</v>
      </c>
      <c r="U3" t="s">
        <v>14</v>
      </c>
      <c r="V3" t="s">
        <v>14</v>
      </c>
      <c r="W3" t="s">
        <v>177</v>
      </c>
      <c r="X3" t="s">
        <v>117</v>
      </c>
      <c r="Y3" t="s">
        <v>116</v>
      </c>
      <c r="Z3" t="s">
        <v>14</v>
      </c>
      <c r="AA3" t="b">
        <v>1</v>
      </c>
      <c r="AB3" t="b">
        <v>1</v>
      </c>
      <c r="AC3" t="b">
        <v>1</v>
      </c>
      <c r="AD3" t="b">
        <v>1</v>
      </c>
      <c r="AE3" t="b">
        <v>1</v>
      </c>
      <c r="AF3" t="s">
        <v>185</v>
      </c>
      <c r="AG3" t="s">
        <v>265</v>
      </c>
    </row>
    <row r="4" spans="1:33" x14ac:dyDescent="0.25">
      <c r="A4" t="s">
        <v>72</v>
      </c>
      <c r="B4" t="s">
        <v>77</v>
      </c>
      <c r="C4" t="s">
        <v>83</v>
      </c>
      <c r="D4" t="s">
        <v>85</v>
      </c>
      <c r="E4" t="s">
        <v>85</v>
      </c>
      <c r="F4" t="s">
        <v>93</v>
      </c>
      <c r="G4" t="s">
        <v>85</v>
      </c>
      <c r="H4" t="s">
        <v>93</v>
      </c>
      <c r="I4" t="s">
        <v>85</v>
      </c>
      <c r="J4" t="s">
        <v>93</v>
      </c>
      <c r="K4" t="s">
        <v>85</v>
      </c>
      <c r="L4" t="s">
        <v>93</v>
      </c>
      <c r="M4" t="s">
        <v>95</v>
      </c>
      <c r="N4" t="s">
        <v>147</v>
      </c>
      <c r="O4" t="s">
        <v>28</v>
      </c>
      <c r="P4" t="s">
        <v>147</v>
      </c>
      <c r="Q4" t="s">
        <v>83</v>
      </c>
      <c r="R4" t="s">
        <v>244</v>
      </c>
      <c r="S4" t="s">
        <v>106</v>
      </c>
      <c r="T4" t="s">
        <v>109</v>
      </c>
      <c r="U4" t="s">
        <v>113</v>
      </c>
      <c r="V4" t="s">
        <v>113</v>
      </c>
      <c r="W4" t="s">
        <v>45</v>
      </c>
      <c r="X4" t="s">
        <v>118</v>
      </c>
      <c r="Y4" t="s">
        <v>37</v>
      </c>
      <c r="Z4" t="s">
        <v>247</v>
      </c>
      <c r="AA4" t="b">
        <v>0</v>
      </c>
      <c r="AB4" t="b">
        <v>0</v>
      </c>
      <c r="AC4" t="b">
        <v>0</v>
      </c>
      <c r="AD4" t="b">
        <v>0</v>
      </c>
      <c r="AE4" t="b">
        <v>0</v>
      </c>
      <c r="AF4" t="s">
        <v>184</v>
      </c>
      <c r="AG4" t="s">
        <v>263</v>
      </c>
    </row>
    <row r="5" spans="1:33" x14ac:dyDescent="0.25">
      <c r="A5" t="s">
        <v>73</v>
      </c>
      <c r="B5" t="s">
        <v>76</v>
      </c>
      <c r="C5" t="s">
        <v>84</v>
      </c>
      <c r="D5" t="s">
        <v>155</v>
      </c>
      <c r="E5" t="s">
        <v>155</v>
      </c>
      <c r="F5" t="s">
        <v>86</v>
      </c>
      <c r="G5" t="s">
        <v>155</v>
      </c>
      <c r="H5" t="s">
        <v>86</v>
      </c>
      <c r="I5" t="s">
        <v>155</v>
      </c>
      <c r="J5" t="s">
        <v>86</v>
      </c>
      <c r="K5" t="s">
        <v>155</v>
      </c>
      <c r="L5" t="s">
        <v>86</v>
      </c>
      <c r="M5" t="s">
        <v>143</v>
      </c>
      <c r="N5" t="s">
        <v>151</v>
      </c>
      <c r="O5" t="s">
        <v>95</v>
      </c>
      <c r="P5" t="s">
        <v>151</v>
      </c>
      <c r="Q5" t="s">
        <v>82</v>
      </c>
      <c r="R5" t="s">
        <v>246</v>
      </c>
      <c r="T5" t="s">
        <v>110</v>
      </c>
      <c r="U5" t="s">
        <v>43</v>
      </c>
      <c r="V5" t="s">
        <v>43</v>
      </c>
      <c r="W5" t="s">
        <v>114</v>
      </c>
      <c r="Z5" t="s">
        <v>248</v>
      </c>
      <c r="AF5" t="s">
        <v>187</v>
      </c>
      <c r="AG5" t="s">
        <v>264</v>
      </c>
    </row>
    <row r="6" spans="1:33" x14ac:dyDescent="0.25">
      <c r="A6" t="s">
        <v>70</v>
      </c>
      <c r="B6" t="s">
        <v>79</v>
      </c>
      <c r="C6" t="s">
        <v>82</v>
      </c>
      <c r="D6" t="s">
        <v>156</v>
      </c>
      <c r="E6" t="s">
        <v>156</v>
      </c>
      <c r="F6" t="s">
        <v>88</v>
      </c>
      <c r="G6" t="s">
        <v>156</v>
      </c>
      <c r="H6" t="s">
        <v>88</v>
      </c>
      <c r="I6" t="s">
        <v>156</v>
      </c>
      <c r="J6" t="s">
        <v>88</v>
      </c>
      <c r="K6" t="s">
        <v>156</v>
      </c>
      <c r="L6" t="s">
        <v>88</v>
      </c>
      <c r="M6" t="s">
        <v>144</v>
      </c>
      <c r="N6" t="s">
        <v>153</v>
      </c>
      <c r="O6" t="s">
        <v>143</v>
      </c>
      <c r="P6" t="s">
        <v>153</v>
      </c>
      <c r="Q6" t="s">
        <v>81</v>
      </c>
      <c r="R6" t="s">
        <v>245</v>
      </c>
      <c r="T6" t="s">
        <v>107</v>
      </c>
      <c r="U6" t="s">
        <v>40</v>
      </c>
      <c r="V6" t="s">
        <v>40</v>
      </c>
      <c r="W6" t="s">
        <v>252</v>
      </c>
      <c r="Z6" t="s">
        <v>115</v>
      </c>
      <c r="AF6" t="s">
        <v>186</v>
      </c>
      <c r="AG6" t="s">
        <v>266</v>
      </c>
    </row>
    <row r="7" spans="1:33" x14ac:dyDescent="0.25">
      <c r="A7" t="s">
        <v>160</v>
      </c>
      <c r="C7" t="s">
        <v>81</v>
      </c>
      <c r="D7" t="s">
        <v>168</v>
      </c>
      <c r="E7" t="s">
        <v>168</v>
      </c>
      <c r="F7" t="s">
        <v>90</v>
      </c>
      <c r="G7" t="s">
        <v>168</v>
      </c>
      <c r="H7" t="s">
        <v>90</v>
      </c>
      <c r="I7" t="s">
        <v>168</v>
      </c>
      <c r="J7" t="s">
        <v>90</v>
      </c>
      <c r="K7" t="s">
        <v>168</v>
      </c>
      <c r="L7" t="s">
        <v>90</v>
      </c>
      <c r="M7" t="s">
        <v>81</v>
      </c>
      <c r="N7" t="s">
        <v>148</v>
      </c>
      <c r="O7" t="s">
        <v>144</v>
      </c>
      <c r="P7" t="s">
        <v>148</v>
      </c>
      <c r="Q7" t="s">
        <v>7</v>
      </c>
      <c r="R7" t="s">
        <v>242</v>
      </c>
      <c r="T7" t="s">
        <v>108</v>
      </c>
      <c r="U7" t="s">
        <v>112</v>
      </c>
      <c r="V7" t="s">
        <v>112</v>
      </c>
      <c r="AF7" t="s">
        <v>188</v>
      </c>
      <c r="AG7" t="s">
        <v>267</v>
      </c>
    </row>
    <row r="8" spans="1:33" x14ac:dyDescent="0.25">
      <c r="A8" t="s">
        <v>71</v>
      </c>
      <c r="C8" t="s">
        <v>7</v>
      </c>
      <c r="D8" t="s">
        <v>89</v>
      </c>
      <c r="E8" t="s">
        <v>89</v>
      </c>
      <c r="F8" t="s">
        <v>92</v>
      </c>
      <c r="G8" t="s">
        <v>89</v>
      </c>
      <c r="H8" t="s">
        <v>92</v>
      </c>
      <c r="I8" t="s">
        <v>89</v>
      </c>
      <c r="J8" t="s">
        <v>92</v>
      </c>
      <c r="K8" t="s">
        <v>89</v>
      </c>
      <c r="L8" t="s">
        <v>92</v>
      </c>
      <c r="M8" t="s">
        <v>7</v>
      </c>
      <c r="N8" t="s">
        <v>149</v>
      </c>
      <c r="O8" t="s">
        <v>81</v>
      </c>
      <c r="P8" t="s">
        <v>149</v>
      </c>
      <c r="Q8" t="s">
        <v>80</v>
      </c>
      <c r="U8" t="s">
        <v>111</v>
      </c>
      <c r="V8" t="s">
        <v>111</v>
      </c>
      <c r="AF8" t="s">
        <v>189</v>
      </c>
      <c r="AG8" t="s">
        <v>268</v>
      </c>
    </row>
    <row r="9" spans="1:33" x14ac:dyDescent="0.25">
      <c r="A9" t="s">
        <v>159</v>
      </c>
      <c r="C9" t="s">
        <v>80</v>
      </c>
      <c r="D9" t="s">
        <v>87</v>
      </c>
      <c r="E9" t="s">
        <v>87</v>
      </c>
      <c r="F9" t="s">
        <v>94</v>
      </c>
      <c r="G9" t="s">
        <v>87</v>
      </c>
      <c r="H9" t="s">
        <v>94</v>
      </c>
      <c r="I9" t="s">
        <v>87</v>
      </c>
      <c r="J9" t="s">
        <v>94</v>
      </c>
      <c r="K9" t="s">
        <v>87</v>
      </c>
      <c r="L9" t="s">
        <v>94</v>
      </c>
      <c r="M9" t="s">
        <v>80</v>
      </c>
      <c r="N9" t="s">
        <v>152</v>
      </c>
      <c r="O9" t="s">
        <v>7</v>
      </c>
      <c r="P9" t="s">
        <v>152</v>
      </c>
      <c r="U9" t="s">
        <v>182</v>
      </c>
      <c r="V9" t="s">
        <v>182</v>
      </c>
      <c r="AF9" t="s">
        <v>190</v>
      </c>
      <c r="AG9" t="s">
        <v>269</v>
      </c>
    </row>
    <row r="10" spans="1:33" x14ac:dyDescent="0.25">
      <c r="A10" t="s">
        <v>157</v>
      </c>
      <c r="D10" t="s">
        <v>154</v>
      </c>
      <c r="E10" t="s">
        <v>154</v>
      </c>
      <c r="G10" t="s">
        <v>154</v>
      </c>
      <c r="I10" t="s">
        <v>154</v>
      </c>
      <c r="K10" t="s">
        <v>154</v>
      </c>
      <c r="M10" t="s">
        <v>145</v>
      </c>
      <c r="N10" t="s">
        <v>146</v>
      </c>
      <c r="O10" t="s">
        <v>80</v>
      </c>
      <c r="P10" t="s">
        <v>146</v>
      </c>
      <c r="AF10" t="s">
        <v>193</v>
      </c>
      <c r="AG10" t="s">
        <v>276</v>
      </c>
    </row>
    <row r="11" spans="1:33" x14ac:dyDescent="0.25">
      <c r="A11" t="s">
        <v>74</v>
      </c>
      <c r="D11" t="s">
        <v>91</v>
      </c>
      <c r="E11" t="s">
        <v>91</v>
      </c>
      <c r="G11" t="s">
        <v>91</v>
      </c>
      <c r="I11" t="s">
        <v>91</v>
      </c>
      <c r="K11" t="s">
        <v>91</v>
      </c>
      <c r="N11" t="s">
        <v>150</v>
      </c>
      <c r="O11" t="s">
        <v>145</v>
      </c>
      <c r="P11" t="s">
        <v>150</v>
      </c>
      <c r="AF11" t="s">
        <v>191</v>
      </c>
      <c r="AG11" t="s">
        <v>275</v>
      </c>
    </row>
    <row r="12" spans="1:33" x14ac:dyDescent="0.25">
      <c r="A12" t="s">
        <v>69</v>
      </c>
      <c r="AF12" t="s">
        <v>192</v>
      </c>
      <c r="AG12" t="s">
        <v>262</v>
      </c>
    </row>
    <row r="13" spans="1:33" x14ac:dyDescent="0.25">
      <c r="A13" t="s">
        <v>158</v>
      </c>
      <c r="AG13" t="s">
        <v>270</v>
      </c>
    </row>
    <row r="14" spans="1:33" x14ac:dyDescent="0.25">
      <c r="A14" t="s">
        <v>194</v>
      </c>
      <c r="AG14" t="s">
        <v>271</v>
      </c>
    </row>
    <row r="15" spans="1:33" x14ac:dyDescent="0.25">
      <c r="A15" t="s">
        <v>75</v>
      </c>
      <c r="AG15" t="s">
        <v>79</v>
      </c>
    </row>
    <row r="16" spans="1:33" x14ac:dyDescent="0.25">
      <c r="A16" t="s">
        <v>68</v>
      </c>
    </row>
    <row r="17" spans="1:1" x14ac:dyDescent="0.25">
      <c r="A17" t="s">
        <v>161</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C19" sqref="C19"/>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227</v>
      </c>
    </row>
    <row r="4" spans="1:6" x14ac:dyDescent="0.25">
      <c r="A4" t="s">
        <v>54</v>
      </c>
      <c r="B4" s="13" t="s">
        <v>375</v>
      </c>
      <c r="D4" t="s">
        <v>62</v>
      </c>
      <c r="F4" s="16" t="s">
        <v>254</v>
      </c>
    </row>
    <row r="5" spans="1:6" x14ac:dyDescent="0.25">
      <c r="A5" t="s">
        <v>55</v>
      </c>
      <c r="B5" s="13" t="s">
        <v>277</v>
      </c>
      <c r="D5" t="s">
        <v>56</v>
      </c>
    </row>
    <row r="6" spans="1:6" x14ac:dyDescent="0.25">
      <c r="A6" t="s">
        <v>57</v>
      </c>
      <c r="B6" s="13" t="s">
        <v>67</v>
      </c>
      <c r="D6" t="s">
        <v>230</v>
      </c>
    </row>
    <row r="7" spans="1:6" x14ac:dyDescent="0.25">
      <c r="A7" t="s">
        <v>249</v>
      </c>
      <c r="B7" s="15" t="s">
        <v>278</v>
      </c>
      <c r="D7" t="s">
        <v>231</v>
      </c>
    </row>
    <row r="8" spans="1:6" x14ac:dyDescent="0.25">
      <c r="A8" t="s">
        <v>250</v>
      </c>
      <c r="B8" s="18"/>
      <c r="D8" t="s">
        <v>232</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1E063637-D8C5-4B70-B74F-5CD4B16A1F79}">
          <x14:formula1>
            <xm:f>Input_Validation!$A$3:$A$17</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2:B492"/>
  <sheetViews>
    <sheetView topLeftCell="A31" workbookViewId="0">
      <selection activeCell="A56" sqref="A56"/>
    </sheetView>
  </sheetViews>
  <sheetFormatPr defaultRowHeight="15" x14ac:dyDescent="0.25"/>
  <sheetData>
    <row r="2" spans="1:2" x14ac:dyDescent="0.25">
      <c r="A2" t="s">
        <v>302</v>
      </c>
      <c r="B2" t="s">
        <v>303</v>
      </c>
    </row>
    <row r="3" spans="1:2" x14ac:dyDescent="0.25">
      <c r="A3" t="s">
        <v>62</v>
      </c>
      <c r="B3" t="s">
        <v>304</v>
      </c>
    </row>
    <row r="4" spans="1:2" x14ac:dyDescent="0.25">
      <c r="A4" t="s">
        <v>56</v>
      </c>
      <c r="B4" t="s">
        <v>305</v>
      </c>
    </row>
    <row r="5" spans="1:2" x14ac:dyDescent="0.25">
      <c r="A5" t="s">
        <v>230</v>
      </c>
      <c r="B5" t="s">
        <v>306</v>
      </c>
    </row>
    <row r="6" spans="1:2" x14ac:dyDescent="0.25">
      <c r="A6" t="s">
        <v>231</v>
      </c>
      <c r="B6" t="s">
        <v>307</v>
      </c>
    </row>
    <row r="7" spans="1:2" x14ac:dyDescent="0.25">
      <c r="A7" t="s">
        <v>232</v>
      </c>
      <c r="B7" t="s">
        <v>303</v>
      </c>
    </row>
    <row r="9" spans="1:2" x14ac:dyDescent="0.25">
      <c r="A9" t="s">
        <v>308</v>
      </c>
      <c r="B9" t="s">
        <v>303</v>
      </c>
    </row>
    <row r="10" spans="1:2" x14ac:dyDescent="0.25">
      <c r="A10" t="s">
        <v>135</v>
      </c>
      <c r="B10" t="s">
        <v>309</v>
      </c>
    </row>
    <row r="11" spans="1:2" x14ac:dyDescent="0.25">
      <c r="A11" t="s">
        <v>29</v>
      </c>
      <c r="B11" t="s">
        <v>310</v>
      </c>
    </row>
    <row r="12" spans="1:2" x14ac:dyDescent="0.25">
      <c r="A12" t="s">
        <v>134</v>
      </c>
      <c r="B12" t="s">
        <v>311</v>
      </c>
    </row>
    <row r="13" spans="1:2" x14ac:dyDescent="0.25">
      <c r="A13" t="s">
        <v>124</v>
      </c>
      <c r="B13" t="s">
        <v>312</v>
      </c>
    </row>
    <row r="14" spans="1:2" x14ac:dyDescent="0.25">
      <c r="A14" t="s">
        <v>15</v>
      </c>
      <c r="B14" t="s">
        <v>312</v>
      </c>
    </row>
    <row r="15" spans="1:2" x14ac:dyDescent="0.25">
      <c r="A15" t="s">
        <v>16</v>
      </c>
      <c r="B15" t="s">
        <v>313</v>
      </c>
    </row>
    <row r="16" spans="1:2" x14ac:dyDescent="0.25">
      <c r="A16" t="s">
        <v>136</v>
      </c>
      <c r="B16" t="s">
        <v>314</v>
      </c>
    </row>
    <row r="17" spans="1:2" x14ac:dyDescent="0.25">
      <c r="A17" t="s">
        <v>17</v>
      </c>
      <c r="B17" t="s">
        <v>313</v>
      </c>
    </row>
    <row r="18" spans="1:2" x14ac:dyDescent="0.25">
      <c r="A18" t="s">
        <v>18</v>
      </c>
      <c r="B18" t="s">
        <v>315</v>
      </c>
    </row>
    <row r="19" spans="1:2" x14ac:dyDescent="0.25">
      <c r="A19" t="s">
        <v>19</v>
      </c>
      <c r="B19" t="s">
        <v>315</v>
      </c>
    </row>
    <row r="20" spans="1:2" x14ac:dyDescent="0.25">
      <c r="A20" t="s">
        <v>20</v>
      </c>
      <c r="B20" t="s">
        <v>315</v>
      </c>
    </row>
    <row r="21" spans="1:2" x14ac:dyDescent="0.25">
      <c r="A21" t="s">
        <v>21</v>
      </c>
      <c r="B21" t="s">
        <v>315</v>
      </c>
    </row>
    <row r="22" spans="1:2" x14ac:dyDescent="0.25">
      <c r="A22" t="s">
        <v>138</v>
      </c>
      <c r="B22" t="s">
        <v>315</v>
      </c>
    </row>
    <row r="23" spans="1:2" x14ac:dyDescent="0.25">
      <c r="A23" t="s">
        <v>142</v>
      </c>
      <c r="B23" t="s">
        <v>303</v>
      </c>
    </row>
    <row r="24" spans="1:2" x14ac:dyDescent="0.25">
      <c r="A24" t="s">
        <v>141</v>
      </c>
      <c r="B24" t="s">
        <v>315</v>
      </c>
    </row>
    <row r="25" spans="1:2" x14ac:dyDescent="0.25">
      <c r="A25" t="s">
        <v>165</v>
      </c>
      <c r="B25" t="s">
        <v>303</v>
      </c>
    </row>
    <row r="26" spans="1:2" x14ac:dyDescent="0.25">
      <c r="A26" t="s">
        <v>166</v>
      </c>
      <c r="B26" t="s">
        <v>303</v>
      </c>
    </row>
    <row r="27" spans="1:2" x14ac:dyDescent="0.25">
      <c r="A27" t="s">
        <v>167</v>
      </c>
      <c r="B27" t="s">
        <v>303</v>
      </c>
    </row>
    <row r="28" spans="1:2" x14ac:dyDescent="0.25">
      <c r="A28" t="s">
        <v>139</v>
      </c>
      <c r="B28" t="s">
        <v>316</v>
      </c>
    </row>
    <row r="29" spans="1:2" x14ac:dyDescent="0.25">
      <c r="A29" t="s">
        <v>22</v>
      </c>
      <c r="B29" t="s">
        <v>317</v>
      </c>
    </row>
    <row r="30" spans="1:2" x14ac:dyDescent="0.25">
      <c r="A30" t="s">
        <v>23</v>
      </c>
      <c r="B30" t="s">
        <v>318</v>
      </c>
    </row>
    <row r="31" spans="1:2" x14ac:dyDescent="0.25">
      <c r="A31" t="s">
        <v>24</v>
      </c>
      <c r="B31">
        <v>2.1</v>
      </c>
    </row>
    <row r="32" spans="1:2" x14ac:dyDescent="0.25">
      <c r="A32" t="s">
        <v>25</v>
      </c>
      <c r="B32">
        <v>50</v>
      </c>
    </row>
    <row r="33" spans="1:2" x14ac:dyDescent="0.25">
      <c r="A33" t="s">
        <v>26</v>
      </c>
      <c r="B33">
        <v>2.7</v>
      </c>
    </row>
    <row r="34" spans="1:2" x14ac:dyDescent="0.25">
      <c r="A34" t="s">
        <v>232</v>
      </c>
      <c r="B34" t="s">
        <v>303</v>
      </c>
    </row>
    <row r="36" spans="1:2" x14ac:dyDescent="0.25">
      <c r="A36" t="s">
        <v>319</v>
      </c>
      <c r="B36" t="s">
        <v>303</v>
      </c>
    </row>
    <row r="37" spans="1:2" x14ac:dyDescent="0.25">
      <c r="A37" t="s">
        <v>132</v>
      </c>
      <c r="B37" t="s">
        <v>310</v>
      </c>
    </row>
    <row r="38" spans="1:2" x14ac:dyDescent="0.25">
      <c r="A38" t="s">
        <v>131</v>
      </c>
      <c r="B38" t="s">
        <v>320</v>
      </c>
    </row>
    <row r="39" spans="1:2" x14ac:dyDescent="0.25">
      <c r="A39" t="s">
        <v>233</v>
      </c>
      <c r="B39" t="s">
        <v>321</v>
      </c>
    </row>
    <row r="40" spans="1:2" x14ac:dyDescent="0.25">
      <c r="A40" t="s">
        <v>35</v>
      </c>
      <c r="B40" t="s">
        <v>322</v>
      </c>
    </row>
    <row r="41" spans="1:2" x14ac:dyDescent="0.25">
      <c r="A41" t="s">
        <v>234</v>
      </c>
      <c r="B41">
        <v>2500</v>
      </c>
    </row>
    <row r="42" spans="1:2" x14ac:dyDescent="0.25">
      <c r="A42" t="s">
        <v>38</v>
      </c>
      <c r="B42" t="s">
        <v>323</v>
      </c>
    </row>
    <row r="43" spans="1:2" x14ac:dyDescent="0.25">
      <c r="A43" t="s">
        <v>41</v>
      </c>
      <c r="B43" t="s">
        <v>324</v>
      </c>
    </row>
    <row r="44" spans="1:2" x14ac:dyDescent="0.25">
      <c r="A44" t="s">
        <v>44</v>
      </c>
      <c r="B44" t="s">
        <v>325</v>
      </c>
    </row>
    <row r="45" spans="1:2" x14ac:dyDescent="0.25">
      <c r="A45" t="s">
        <v>46</v>
      </c>
      <c r="B45" t="s">
        <v>326</v>
      </c>
    </row>
    <row r="46" spans="1:2" x14ac:dyDescent="0.25">
      <c r="A46" t="s">
        <v>235</v>
      </c>
      <c r="B46">
        <v>30</v>
      </c>
    </row>
    <row r="47" spans="1:2" x14ac:dyDescent="0.25">
      <c r="A47" t="s">
        <v>236</v>
      </c>
      <c r="B47" t="s">
        <v>327</v>
      </c>
    </row>
    <row r="48" spans="1:2" x14ac:dyDescent="0.25">
      <c r="A48" t="s">
        <v>237</v>
      </c>
      <c r="B48" t="s">
        <v>328</v>
      </c>
    </row>
    <row r="49" spans="1:2" x14ac:dyDescent="0.25">
      <c r="A49" t="s">
        <v>59</v>
      </c>
      <c r="B49" t="s">
        <v>329</v>
      </c>
    </row>
    <row r="50" spans="1:2" x14ac:dyDescent="0.25">
      <c r="A50" t="s">
        <v>61</v>
      </c>
      <c r="B50">
        <v>0.7</v>
      </c>
    </row>
    <row r="51" spans="1:2" x14ac:dyDescent="0.25">
      <c r="A51" t="s">
        <v>125</v>
      </c>
      <c r="B51">
        <v>5</v>
      </c>
    </row>
    <row r="52" spans="1:2" x14ac:dyDescent="0.25">
      <c r="A52" t="s">
        <v>128</v>
      </c>
      <c r="B52">
        <v>70000</v>
      </c>
    </row>
    <row r="53" spans="1:2" x14ac:dyDescent="0.25">
      <c r="A53" t="s">
        <v>129</v>
      </c>
      <c r="B53">
        <v>17500</v>
      </c>
    </row>
    <row r="54" spans="1:2" x14ac:dyDescent="0.25">
      <c r="A54" t="s">
        <v>232</v>
      </c>
      <c r="B54" t="s">
        <v>303</v>
      </c>
    </row>
    <row r="56" spans="1:2" x14ac:dyDescent="0.25">
      <c r="A56" t="s">
        <v>330</v>
      </c>
      <c r="B56" t="s">
        <v>303</v>
      </c>
    </row>
    <row r="58" spans="1:2" x14ac:dyDescent="0.25">
      <c r="A58" t="s">
        <v>62</v>
      </c>
      <c r="B58" t="s">
        <v>331</v>
      </c>
    </row>
    <row r="59" spans="1:2" x14ac:dyDescent="0.25">
      <c r="A59" t="s">
        <v>332</v>
      </c>
      <c r="B59" t="s">
        <v>333</v>
      </c>
    </row>
    <row r="60" spans="1:2" x14ac:dyDescent="0.25">
      <c r="A60" t="s">
        <v>232</v>
      </c>
      <c r="B60" t="s">
        <v>303</v>
      </c>
    </row>
    <row r="63" spans="1:2" x14ac:dyDescent="0.25">
      <c r="A63" t="s">
        <v>62</v>
      </c>
      <c r="B63" t="s">
        <v>334</v>
      </c>
    </row>
    <row r="64" spans="1:2" x14ac:dyDescent="0.25">
      <c r="A64" t="s">
        <v>332</v>
      </c>
      <c r="B64" t="s">
        <v>333</v>
      </c>
    </row>
    <row r="65" spans="1:2" x14ac:dyDescent="0.25">
      <c r="A65" t="s">
        <v>232</v>
      </c>
      <c r="B65" t="s">
        <v>303</v>
      </c>
    </row>
    <row r="68" spans="1:2" x14ac:dyDescent="0.25">
      <c r="A68" t="s">
        <v>62</v>
      </c>
      <c r="B68" t="s">
        <v>335</v>
      </c>
    </row>
    <row r="69" spans="1:2" x14ac:dyDescent="0.25">
      <c r="A69" t="s">
        <v>332</v>
      </c>
      <c r="B69" t="s">
        <v>333</v>
      </c>
    </row>
    <row r="70" spans="1:2" x14ac:dyDescent="0.25">
      <c r="A70" t="s">
        <v>232</v>
      </c>
      <c r="B70" t="s">
        <v>303</v>
      </c>
    </row>
    <row r="73" spans="1:2" x14ac:dyDescent="0.25">
      <c r="A73" t="s">
        <v>62</v>
      </c>
      <c r="B73" t="s">
        <v>336</v>
      </c>
    </row>
    <row r="74" spans="1:2" x14ac:dyDescent="0.25">
      <c r="A74" t="s">
        <v>332</v>
      </c>
      <c r="B74" t="s">
        <v>337</v>
      </c>
    </row>
    <row r="75" spans="1:2" x14ac:dyDescent="0.25">
      <c r="A75" t="s">
        <v>232</v>
      </c>
      <c r="B75" t="s">
        <v>303</v>
      </c>
    </row>
    <row r="78" spans="1:2" x14ac:dyDescent="0.25">
      <c r="A78" t="s">
        <v>62</v>
      </c>
      <c r="B78" t="s">
        <v>338</v>
      </c>
    </row>
    <row r="79" spans="1:2" x14ac:dyDescent="0.25">
      <c r="A79" t="s">
        <v>332</v>
      </c>
      <c r="B79" t="s">
        <v>337</v>
      </c>
    </row>
    <row r="80" spans="1:2" x14ac:dyDescent="0.25">
      <c r="A80" t="s">
        <v>232</v>
      </c>
      <c r="B80" t="s">
        <v>303</v>
      </c>
    </row>
    <row r="83" spans="1:2" x14ac:dyDescent="0.25">
      <c r="A83" t="s">
        <v>339</v>
      </c>
      <c r="B83" t="s">
        <v>303</v>
      </c>
    </row>
    <row r="84" spans="1:2" x14ac:dyDescent="0.25">
      <c r="A84" t="s">
        <v>340</v>
      </c>
      <c r="B84" t="s">
        <v>303</v>
      </c>
    </row>
    <row r="85" spans="1:2" x14ac:dyDescent="0.25">
      <c r="A85" t="s">
        <v>341</v>
      </c>
      <c r="B85">
        <v>1</v>
      </c>
    </row>
    <row r="86" spans="1:2" x14ac:dyDescent="0.25">
      <c r="A86" t="s">
        <v>62</v>
      </c>
      <c r="B86" t="s">
        <v>342</v>
      </c>
    </row>
    <row r="87" spans="1:2" x14ac:dyDescent="0.25">
      <c r="A87" t="s">
        <v>343</v>
      </c>
      <c r="B87">
        <v>2646</v>
      </c>
    </row>
    <row r="88" spans="1:2" x14ac:dyDescent="0.25">
      <c r="A88" t="s">
        <v>344</v>
      </c>
      <c r="B88" t="s">
        <v>345</v>
      </c>
    </row>
    <row r="89" spans="1:2" x14ac:dyDescent="0.25">
      <c r="A89" t="s">
        <v>63</v>
      </c>
      <c r="B89">
        <v>262.976</v>
      </c>
    </row>
    <row r="90" spans="1:2" x14ac:dyDescent="0.25">
      <c r="A90" t="s">
        <v>64</v>
      </c>
      <c r="B90">
        <v>8.6</v>
      </c>
    </row>
    <row r="91" spans="1:2" x14ac:dyDescent="0.25">
      <c r="A91" t="s">
        <v>65</v>
      </c>
      <c r="B91">
        <v>8.4</v>
      </c>
    </row>
    <row r="92" spans="1:2" x14ac:dyDescent="0.25">
      <c r="A92" t="s">
        <v>66</v>
      </c>
      <c r="B92">
        <v>9.1</v>
      </c>
    </row>
    <row r="93" spans="1:2" x14ac:dyDescent="0.25">
      <c r="A93" t="s">
        <v>261</v>
      </c>
      <c r="B93" t="s">
        <v>346</v>
      </c>
    </row>
    <row r="95" spans="1:2" x14ac:dyDescent="0.25">
      <c r="A95" t="s">
        <v>340</v>
      </c>
      <c r="B95" t="s">
        <v>303</v>
      </c>
    </row>
    <row r="96" spans="1:2" x14ac:dyDescent="0.25">
      <c r="A96" t="s">
        <v>341</v>
      </c>
      <c r="B96">
        <v>2</v>
      </c>
    </row>
    <row r="97" spans="1:2" x14ac:dyDescent="0.25">
      <c r="A97" t="s">
        <v>62</v>
      </c>
      <c r="B97" t="s">
        <v>347</v>
      </c>
    </row>
    <row r="98" spans="1:2" x14ac:dyDescent="0.25">
      <c r="A98" t="s">
        <v>343</v>
      </c>
      <c r="B98">
        <v>2643</v>
      </c>
    </row>
    <row r="99" spans="1:2" x14ac:dyDescent="0.25">
      <c r="A99" t="s">
        <v>344</v>
      </c>
      <c r="B99" t="s">
        <v>345</v>
      </c>
    </row>
    <row r="100" spans="1:2" x14ac:dyDescent="0.25">
      <c r="A100" t="s">
        <v>63</v>
      </c>
      <c r="B100">
        <v>312.97300000000001</v>
      </c>
    </row>
    <row r="101" spans="1:2" x14ac:dyDescent="0.25">
      <c r="A101" t="s">
        <v>64</v>
      </c>
      <c r="B101">
        <v>10.8</v>
      </c>
    </row>
    <row r="102" spans="1:2" x14ac:dyDescent="0.25">
      <c r="A102" t="s">
        <v>65</v>
      </c>
      <c r="B102">
        <v>10.5</v>
      </c>
    </row>
    <row r="103" spans="1:2" x14ac:dyDescent="0.25">
      <c r="A103" t="s">
        <v>66</v>
      </c>
      <c r="B103">
        <v>11.1</v>
      </c>
    </row>
    <row r="104" spans="1:2" x14ac:dyDescent="0.25">
      <c r="A104" t="s">
        <v>261</v>
      </c>
      <c r="B104" t="s">
        <v>346</v>
      </c>
    </row>
    <row r="106" spans="1:2" x14ac:dyDescent="0.25">
      <c r="A106" t="s">
        <v>340</v>
      </c>
      <c r="B106" t="s">
        <v>303</v>
      </c>
    </row>
    <row r="107" spans="1:2" x14ac:dyDescent="0.25">
      <c r="A107" t="s">
        <v>341</v>
      </c>
      <c r="B107">
        <v>3</v>
      </c>
    </row>
    <row r="108" spans="1:2" x14ac:dyDescent="0.25">
      <c r="A108" t="s">
        <v>62</v>
      </c>
      <c r="B108" t="s">
        <v>348</v>
      </c>
    </row>
    <row r="109" spans="1:2" x14ac:dyDescent="0.25">
      <c r="A109" t="s">
        <v>343</v>
      </c>
      <c r="B109">
        <v>2640</v>
      </c>
    </row>
    <row r="110" spans="1:2" x14ac:dyDescent="0.25">
      <c r="A110" t="s">
        <v>344</v>
      </c>
      <c r="B110" t="s">
        <v>345</v>
      </c>
    </row>
    <row r="111" spans="1:2" x14ac:dyDescent="0.25">
      <c r="A111" t="s">
        <v>63</v>
      </c>
      <c r="B111">
        <v>362.9699</v>
      </c>
    </row>
    <row r="112" spans="1:2" x14ac:dyDescent="0.25">
      <c r="A112" t="s">
        <v>64</v>
      </c>
      <c r="B112">
        <v>12.09</v>
      </c>
    </row>
    <row r="113" spans="1:2" x14ac:dyDescent="0.25">
      <c r="A113" t="s">
        <v>65</v>
      </c>
      <c r="B113">
        <v>11.9</v>
      </c>
    </row>
    <row r="114" spans="1:2" x14ac:dyDescent="0.25">
      <c r="A114" t="s">
        <v>66</v>
      </c>
      <c r="B114">
        <v>12.4</v>
      </c>
    </row>
    <row r="115" spans="1:2" x14ac:dyDescent="0.25">
      <c r="A115" t="s">
        <v>261</v>
      </c>
      <c r="B115" t="s">
        <v>346</v>
      </c>
    </row>
    <row r="117" spans="1:2" x14ac:dyDescent="0.25">
      <c r="A117" t="s">
        <v>340</v>
      </c>
      <c r="B117" t="s">
        <v>303</v>
      </c>
    </row>
    <row r="118" spans="1:2" x14ac:dyDescent="0.25">
      <c r="A118" t="s">
        <v>341</v>
      </c>
      <c r="B118">
        <v>4</v>
      </c>
    </row>
    <row r="119" spans="1:2" x14ac:dyDescent="0.25">
      <c r="A119" t="s">
        <v>62</v>
      </c>
      <c r="B119" t="s">
        <v>349</v>
      </c>
    </row>
    <row r="120" spans="1:2" x14ac:dyDescent="0.25">
      <c r="A120" t="s">
        <v>343</v>
      </c>
      <c r="B120">
        <v>2637</v>
      </c>
    </row>
    <row r="121" spans="1:2" x14ac:dyDescent="0.25">
      <c r="A121" t="s">
        <v>344</v>
      </c>
      <c r="B121" t="s">
        <v>345</v>
      </c>
    </row>
    <row r="122" spans="1:2" x14ac:dyDescent="0.25">
      <c r="A122" t="s">
        <v>63</v>
      </c>
      <c r="B122">
        <v>412.9665</v>
      </c>
    </row>
    <row r="123" spans="1:2" x14ac:dyDescent="0.25">
      <c r="A123" t="s">
        <v>64</v>
      </c>
      <c r="B123">
        <v>13.05</v>
      </c>
    </row>
    <row r="124" spans="1:2" x14ac:dyDescent="0.25">
      <c r="A124" t="s">
        <v>65</v>
      </c>
      <c r="B124">
        <v>12.8</v>
      </c>
    </row>
    <row r="125" spans="1:2" x14ac:dyDescent="0.25">
      <c r="A125" t="s">
        <v>66</v>
      </c>
      <c r="B125">
        <v>13.4</v>
      </c>
    </row>
    <row r="126" spans="1:2" x14ac:dyDescent="0.25">
      <c r="A126" t="s">
        <v>261</v>
      </c>
      <c r="B126" t="s">
        <v>346</v>
      </c>
    </row>
    <row r="128" spans="1:2" x14ac:dyDescent="0.25">
      <c r="A128" t="s">
        <v>340</v>
      </c>
      <c r="B128" t="s">
        <v>303</v>
      </c>
    </row>
    <row r="129" spans="1:2" x14ac:dyDescent="0.25">
      <c r="A129" t="s">
        <v>341</v>
      </c>
      <c r="B129">
        <v>5</v>
      </c>
    </row>
    <row r="130" spans="1:2" x14ac:dyDescent="0.25">
      <c r="A130" t="s">
        <v>62</v>
      </c>
      <c r="B130" t="s">
        <v>350</v>
      </c>
    </row>
    <row r="131" spans="1:2" x14ac:dyDescent="0.25">
      <c r="A131" t="s">
        <v>343</v>
      </c>
      <c r="B131">
        <v>2635</v>
      </c>
    </row>
    <row r="132" spans="1:2" x14ac:dyDescent="0.25">
      <c r="A132" t="s">
        <v>344</v>
      </c>
      <c r="B132" t="s">
        <v>345</v>
      </c>
    </row>
    <row r="133" spans="1:2" x14ac:dyDescent="0.25">
      <c r="A133" t="s">
        <v>63</v>
      </c>
      <c r="B133">
        <v>462.96350000000001</v>
      </c>
    </row>
    <row r="134" spans="1:2" x14ac:dyDescent="0.25">
      <c r="A134" t="s">
        <v>64</v>
      </c>
      <c r="B134">
        <v>13.8</v>
      </c>
    </row>
    <row r="135" spans="1:2" x14ac:dyDescent="0.25">
      <c r="A135" t="s">
        <v>65</v>
      </c>
      <c r="B135">
        <v>13.6</v>
      </c>
    </row>
    <row r="136" spans="1:2" x14ac:dyDescent="0.25">
      <c r="A136" t="s">
        <v>66</v>
      </c>
      <c r="B136">
        <v>14.1</v>
      </c>
    </row>
    <row r="137" spans="1:2" x14ac:dyDescent="0.25">
      <c r="A137" t="s">
        <v>261</v>
      </c>
      <c r="B137" t="s">
        <v>346</v>
      </c>
    </row>
    <row r="139" spans="1:2" x14ac:dyDescent="0.25">
      <c r="A139" t="s">
        <v>340</v>
      </c>
      <c r="B139" t="s">
        <v>303</v>
      </c>
    </row>
    <row r="140" spans="1:2" x14ac:dyDescent="0.25">
      <c r="A140" t="s">
        <v>341</v>
      </c>
      <c r="B140">
        <v>6</v>
      </c>
    </row>
    <row r="141" spans="1:2" x14ac:dyDescent="0.25">
      <c r="A141" t="s">
        <v>62</v>
      </c>
      <c r="B141" t="s">
        <v>351</v>
      </c>
    </row>
    <row r="142" spans="1:2" x14ac:dyDescent="0.25">
      <c r="A142" t="s">
        <v>343</v>
      </c>
      <c r="B142">
        <v>2632</v>
      </c>
    </row>
    <row r="143" spans="1:2" x14ac:dyDescent="0.25">
      <c r="A143" t="s">
        <v>344</v>
      </c>
      <c r="B143" t="s">
        <v>345</v>
      </c>
    </row>
    <row r="144" spans="1:2" x14ac:dyDescent="0.25">
      <c r="A144" t="s">
        <v>63</v>
      </c>
      <c r="B144">
        <v>512.96019999999999</v>
      </c>
    </row>
    <row r="145" spans="1:2" x14ac:dyDescent="0.25">
      <c r="A145" t="s">
        <v>64</v>
      </c>
      <c r="B145">
        <v>14.5</v>
      </c>
    </row>
    <row r="146" spans="1:2" x14ac:dyDescent="0.25">
      <c r="A146" t="s">
        <v>65</v>
      </c>
      <c r="B146">
        <v>14.3</v>
      </c>
    </row>
    <row r="147" spans="1:2" x14ac:dyDescent="0.25">
      <c r="A147" t="s">
        <v>66</v>
      </c>
      <c r="B147">
        <v>14.8</v>
      </c>
    </row>
    <row r="148" spans="1:2" x14ac:dyDescent="0.25">
      <c r="A148" t="s">
        <v>261</v>
      </c>
      <c r="B148" t="s">
        <v>346</v>
      </c>
    </row>
    <row r="150" spans="1:2" x14ac:dyDescent="0.25">
      <c r="A150" t="s">
        <v>340</v>
      </c>
      <c r="B150" t="s">
        <v>303</v>
      </c>
    </row>
    <row r="151" spans="1:2" x14ac:dyDescent="0.25">
      <c r="A151" t="s">
        <v>341</v>
      </c>
      <c r="B151">
        <v>7</v>
      </c>
    </row>
    <row r="152" spans="1:2" x14ac:dyDescent="0.25">
      <c r="A152" t="s">
        <v>62</v>
      </c>
      <c r="B152" t="s">
        <v>352</v>
      </c>
    </row>
    <row r="153" spans="1:2" x14ac:dyDescent="0.25">
      <c r="A153" t="s">
        <v>343</v>
      </c>
      <c r="B153">
        <v>2630</v>
      </c>
    </row>
    <row r="154" spans="1:2" x14ac:dyDescent="0.25">
      <c r="A154" t="s">
        <v>344</v>
      </c>
      <c r="B154" t="s">
        <v>345</v>
      </c>
    </row>
    <row r="155" spans="1:2" x14ac:dyDescent="0.25">
      <c r="A155" t="s">
        <v>63</v>
      </c>
      <c r="B155">
        <v>562.95730000000003</v>
      </c>
    </row>
    <row r="156" spans="1:2" x14ac:dyDescent="0.25">
      <c r="A156" t="s">
        <v>64</v>
      </c>
      <c r="B156">
        <v>15.1</v>
      </c>
    </row>
    <row r="157" spans="1:2" x14ac:dyDescent="0.25">
      <c r="A157" t="s">
        <v>65</v>
      </c>
      <c r="B157">
        <v>14.9</v>
      </c>
    </row>
    <row r="158" spans="1:2" x14ac:dyDescent="0.25">
      <c r="A158" t="s">
        <v>66</v>
      </c>
      <c r="B158">
        <v>15.4</v>
      </c>
    </row>
    <row r="159" spans="1:2" x14ac:dyDescent="0.25">
      <c r="A159" t="s">
        <v>261</v>
      </c>
      <c r="B159" t="s">
        <v>346</v>
      </c>
    </row>
    <row r="161" spans="1:2" x14ac:dyDescent="0.25">
      <c r="A161" t="s">
        <v>340</v>
      </c>
      <c r="B161" t="s">
        <v>303</v>
      </c>
    </row>
    <row r="162" spans="1:2" x14ac:dyDescent="0.25">
      <c r="A162" t="s">
        <v>341</v>
      </c>
      <c r="B162">
        <v>8</v>
      </c>
    </row>
    <row r="163" spans="1:2" x14ac:dyDescent="0.25">
      <c r="A163" t="s">
        <v>62</v>
      </c>
      <c r="B163" t="s">
        <v>353</v>
      </c>
    </row>
    <row r="164" spans="1:2" x14ac:dyDescent="0.25">
      <c r="A164" t="s">
        <v>343</v>
      </c>
      <c r="B164">
        <v>2629</v>
      </c>
    </row>
    <row r="165" spans="1:2" x14ac:dyDescent="0.25">
      <c r="A165" t="s">
        <v>344</v>
      </c>
      <c r="B165" t="s">
        <v>345</v>
      </c>
    </row>
    <row r="166" spans="1:2" x14ac:dyDescent="0.25">
      <c r="A166" t="s">
        <v>63</v>
      </c>
      <c r="B166">
        <v>612.95399999999995</v>
      </c>
    </row>
    <row r="167" spans="1:2" x14ac:dyDescent="0.25">
      <c r="A167" t="s">
        <v>64</v>
      </c>
      <c r="B167">
        <v>15.6</v>
      </c>
    </row>
    <row r="168" spans="1:2" x14ac:dyDescent="0.25">
      <c r="A168" t="s">
        <v>65</v>
      </c>
      <c r="B168">
        <v>15.4</v>
      </c>
    </row>
    <row r="169" spans="1:2" x14ac:dyDescent="0.25">
      <c r="A169" t="s">
        <v>66</v>
      </c>
      <c r="B169">
        <v>15.8</v>
      </c>
    </row>
    <row r="170" spans="1:2" x14ac:dyDescent="0.25">
      <c r="A170" t="s">
        <v>261</v>
      </c>
      <c r="B170" t="s">
        <v>346</v>
      </c>
    </row>
    <row r="172" spans="1:2" x14ac:dyDescent="0.25">
      <c r="A172" t="s">
        <v>340</v>
      </c>
      <c r="B172" t="s">
        <v>303</v>
      </c>
    </row>
    <row r="173" spans="1:2" x14ac:dyDescent="0.25">
      <c r="A173" t="s">
        <v>341</v>
      </c>
      <c r="B173">
        <v>9</v>
      </c>
    </row>
    <row r="174" spans="1:2" x14ac:dyDescent="0.25">
      <c r="A174" t="s">
        <v>62</v>
      </c>
      <c r="B174" t="s">
        <v>354</v>
      </c>
    </row>
    <row r="175" spans="1:2" x14ac:dyDescent="0.25">
      <c r="A175" t="s">
        <v>343</v>
      </c>
      <c r="B175">
        <v>2628</v>
      </c>
    </row>
    <row r="176" spans="1:2" x14ac:dyDescent="0.25">
      <c r="A176" t="s">
        <v>344</v>
      </c>
      <c r="B176" t="s">
        <v>345</v>
      </c>
    </row>
    <row r="177" spans="1:2" x14ac:dyDescent="0.25">
      <c r="A177" t="s">
        <v>63</v>
      </c>
      <c r="B177">
        <v>662.95159999999998</v>
      </c>
    </row>
    <row r="178" spans="1:2" x14ac:dyDescent="0.25">
      <c r="A178" t="s">
        <v>64</v>
      </c>
      <c r="B178">
        <v>16</v>
      </c>
    </row>
    <row r="179" spans="1:2" x14ac:dyDescent="0.25">
      <c r="A179" t="s">
        <v>65</v>
      </c>
      <c r="B179">
        <v>15.9</v>
      </c>
    </row>
    <row r="180" spans="1:2" x14ac:dyDescent="0.25">
      <c r="A180" t="s">
        <v>66</v>
      </c>
      <c r="B180">
        <v>16.2</v>
      </c>
    </row>
    <row r="181" spans="1:2" x14ac:dyDescent="0.25">
      <c r="A181" t="s">
        <v>261</v>
      </c>
      <c r="B181" t="s">
        <v>346</v>
      </c>
    </row>
    <row r="183" spans="1:2" x14ac:dyDescent="0.25">
      <c r="A183" t="s">
        <v>340</v>
      </c>
      <c r="B183" t="s">
        <v>303</v>
      </c>
    </row>
    <row r="184" spans="1:2" x14ac:dyDescent="0.25">
      <c r="A184" t="s">
        <v>341</v>
      </c>
      <c r="B184">
        <v>10</v>
      </c>
    </row>
    <row r="185" spans="1:2" x14ac:dyDescent="0.25">
      <c r="A185" t="s">
        <v>62</v>
      </c>
      <c r="B185" t="s">
        <v>355</v>
      </c>
    </row>
    <row r="186" spans="1:2" x14ac:dyDescent="0.25">
      <c r="A186" t="s">
        <v>343</v>
      </c>
      <c r="B186">
        <v>2627</v>
      </c>
    </row>
    <row r="187" spans="1:2" x14ac:dyDescent="0.25">
      <c r="A187" t="s">
        <v>344</v>
      </c>
      <c r="B187" t="s">
        <v>345</v>
      </c>
    </row>
    <row r="188" spans="1:2" x14ac:dyDescent="0.25">
      <c r="A188" t="s">
        <v>63</v>
      </c>
      <c r="B188">
        <v>712.94870000000003</v>
      </c>
    </row>
    <row r="189" spans="1:2" x14ac:dyDescent="0.25">
      <c r="A189" t="s">
        <v>64</v>
      </c>
      <c r="B189">
        <v>16.3</v>
      </c>
    </row>
    <row r="190" spans="1:2" x14ac:dyDescent="0.25">
      <c r="A190" t="s">
        <v>65</v>
      </c>
      <c r="B190">
        <v>16.2</v>
      </c>
    </row>
    <row r="191" spans="1:2" x14ac:dyDescent="0.25">
      <c r="A191" t="s">
        <v>66</v>
      </c>
      <c r="B191">
        <v>16.600000000000001</v>
      </c>
    </row>
    <row r="192" spans="1:2" x14ac:dyDescent="0.25">
      <c r="A192" t="s">
        <v>261</v>
      </c>
      <c r="B192" t="s">
        <v>346</v>
      </c>
    </row>
    <row r="195" spans="1:2" x14ac:dyDescent="0.25">
      <c r="A195" t="s">
        <v>356</v>
      </c>
      <c r="B195" t="s">
        <v>303</v>
      </c>
    </row>
    <row r="196" spans="1:2" x14ac:dyDescent="0.25">
      <c r="A196" t="s">
        <v>357</v>
      </c>
      <c r="B196" t="s">
        <v>303</v>
      </c>
    </row>
    <row r="197" spans="1:2" x14ac:dyDescent="0.25">
      <c r="A197" t="s">
        <v>62</v>
      </c>
      <c r="B197" t="s">
        <v>347</v>
      </c>
    </row>
    <row r="198" spans="1:2" x14ac:dyDescent="0.25">
      <c r="A198" t="s">
        <v>358</v>
      </c>
      <c r="B198" t="s">
        <v>303</v>
      </c>
    </row>
    <row r="199" spans="1:2" x14ac:dyDescent="0.25">
      <c r="A199" t="s">
        <v>359</v>
      </c>
      <c r="B199">
        <v>118.99120000000001</v>
      </c>
    </row>
    <row r="200" spans="1:2" x14ac:dyDescent="0.25">
      <c r="A200" t="s">
        <v>360</v>
      </c>
      <c r="B200" t="s">
        <v>361</v>
      </c>
    </row>
    <row r="201" spans="1:2" x14ac:dyDescent="0.25">
      <c r="A201" t="s">
        <v>362</v>
      </c>
      <c r="B201" t="s">
        <v>363</v>
      </c>
    </row>
    <row r="202" spans="1:2" x14ac:dyDescent="0.25">
      <c r="A202" t="s">
        <v>364</v>
      </c>
      <c r="B202" t="s">
        <v>337</v>
      </c>
    </row>
    <row r="205" spans="1:2" x14ac:dyDescent="0.25">
      <c r="A205" t="s">
        <v>358</v>
      </c>
      <c r="B205" t="s">
        <v>303</v>
      </c>
    </row>
    <row r="206" spans="1:2" x14ac:dyDescent="0.25">
      <c r="A206" t="s">
        <v>359</v>
      </c>
      <c r="B206">
        <v>268.9828</v>
      </c>
    </row>
    <row r="207" spans="1:2" x14ac:dyDescent="0.25">
      <c r="A207" t="s">
        <v>360</v>
      </c>
      <c r="B207" t="s">
        <v>365</v>
      </c>
    </row>
    <row r="208" spans="1:2" x14ac:dyDescent="0.25">
      <c r="A208" t="s">
        <v>362</v>
      </c>
      <c r="B208" t="s">
        <v>366</v>
      </c>
    </row>
    <row r="209" spans="1:2" x14ac:dyDescent="0.25">
      <c r="A209" t="s">
        <v>364</v>
      </c>
      <c r="B209" t="s">
        <v>337</v>
      </c>
    </row>
    <row r="213" spans="1:2" x14ac:dyDescent="0.25">
      <c r="A213" t="s">
        <v>357</v>
      </c>
      <c r="B213" t="s">
        <v>303</v>
      </c>
    </row>
    <row r="214" spans="1:2" x14ac:dyDescent="0.25">
      <c r="A214" t="s">
        <v>62</v>
      </c>
      <c r="B214" t="s">
        <v>348</v>
      </c>
    </row>
    <row r="215" spans="1:2" x14ac:dyDescent="0.25">
      <c r="A215" t="s">
        <v>358</v>
      </c>
      <c r="B215" t="s">
        <v>303</v>
      </c>
    </row>
    <row r="216" spans="1:2" x14ac:dyDescent="0.25">
      <c r="A216" t="s">
        <v>359</v>
      </c>
      <c r="B216">
        <v>118.99120000000001</v>
      </c>
    </row>
    <row r="217" spans="1:2" x14ac:dyDescent="0.25">
      <c r="A217" t="s">
        <v>360</v>
      </c>
      <c r="B217" t="s">
        <v>361</v>
      </c>
    </row>
    <row r="218" spans="1:2" x14ac:dyDescent="0.25">
      <c r="A218" t="s">
        <v>362</v>
      </c>
      <c r="B218" t="s">
        <v>363</v>
      </c>
    </row>
    <row r="219" spans="1:2" x14ac:dyDescent="0.25">
      <c r="A219" t="s">
        <v>364</v>
      </c>
      <c r="B219" t="s">
        <v>337</v>
      </c>
    </row>
    <row r="222" spans="1:2" x14ac:dyDescent="0.25">
      <c r="A222" t="s">
        <v>358</v>
      </c>
      <c r="B222" t="s">
        <v>303</v>
      </c>
    </row>
    <row r="223" spans="1:2" x14ac:dyDescent="0.25">
      <c r="A223" t="s">
        <v>359</v>
      </c>
      <c r="B223">
        <v>168.98830000000001</v>
      </c>
    </row>
    <row r="224" spans="1:2" x14ac:dyDescent="0.25">
      <c r="A224" t="s">
        <v>360</v>
      </c>
      <c r="B224" t="s">
        <v>367</v>
      </c>
    </row>
    <row r="225" spans="1:2" x14ac:dyDescent="0.25">
      <c r="A225" t="s">
        <v>362</v>
      </c>
      <c r="B225" t="s">
        <v>368</v>
      </c>
    </row>
    <row r="226" spans="1:2" x14ac:dyDescent="0.25">
      <c r="A226" t="s">
        <v>364</v>
      </c>
      <c r="B226" t="s">
        <v>337</v>
      </c>
    </row>
    <row r="229" spans="1:2" x14ac:dyDescent="0.25">
      <c r="A229" t="s">
        <v>358</v>
      </c>
      <c r="B229" t="s">
        <v>303</v>
      </c>
    </row>
    <row r="230" spans="1:2" x14ac:dyDescent="0.25">
      <c r="A230" t="s">
        <v>359</v>
      </c>
      <c r="B230">
        <v>318.9796</v>
      </c>
    </row>
    <row r="231" spans="1:2" x14ac:dyDescent="0.25">
      <c r="A231" t="s">
        <v>360</v>
      </c>
      <c r="B231" t="s">
        <v>369</v>
      </c>
    </row>
    <row r="232" spans="1:2" x14ac:dyDescent="0.25">
      <c r="A232" t="s">
        <v>362</v>
      </c>
      <c r="B232" t="s">
        <v>370</v>
      </c>
    </row>
    <row r="233" spans="1:2" x14ac:dyDescent="0.25">
      <c r="A233" t="s">
        <v>364</v>
      </c>
      <c r="B233" t="s">
        <v>337</v>
      </c>
    </row>
    <row r="237" spans="1:2" x14ac:dyDescent="0.25">
      <c r="A237" t="s">
        <v>357</v>
      </c>
      <c r="B237" t="s">
        <v>303</v>
      </c>
    </row>
    <row r="238" spans="1:2" x14ac:dyDescent="0.25">
      <c r="A238" t="s">
        <v>62</v>
      </c>
      <c r="B238" t="s">
        <v>349</v>
      </c>
    </row>
    <row r="239" spans="1:2" x14ac:dyDescent="0.25">
      <c r="A239" t="s">
        <v>358</v>
      </c>
      <c r="B239" t="s">
        <v>303</v>
      </c>
    </row>
    <row r="240" spans="1:2" x14ac:dyDescent="0.25">
      <c r="A240" t="s">
        <v>359</v>
      </c>
      <c r="B240">
        <v>118.9911</v>
      </c>
    </row>
    <row r="241" spans="1:2" x14ac:dyDescent="0.25">
      <c r="A241" t="s">
        <v>360</v>
      </c>
      <c r="B241" t="s">
        <v>361</v>
      </c>
    </row>
    <row r="242" spans="1:2" x14ac:dyDescent="0.25">
      <c r="A242" t="s">
        <v>362</v>
      </c>
      <c r="B242" t="s">
        <v>363</v>
      </c>
    </row>
    <row r="243" spans="1:2" x14ac:dyDescent="0.25">
      <c r="A243" t="s">
        <v>364</v>
      </c>
      <c r="B243" t="s">
        <v>337</v>
      </c>
    </row>
    <row r="246" spans="1:2" x14ac:dyDescent="0.25">
      <c r="A246" t="s">
        <v>358</v>
      </c>
      <c r="B246" t="s">
        <v>303</v>
      </c>
    </row>
    <row r="247" spans="1:2" x14ac:dyDescent="0.25">
      <c r="A247" t="s">
        <v>359</v>
      </c>
      <c r="B247">
        <v>168.9881</v>
      </c>
    </row>
    <row r="248" spans="1:2" x14ac:dyDescent="0.25">
      <c r="A248" t="s">
        <v>360</v>
      </c>
      <c r="B248" t="s">
        <v>367</v>
      </c>
    </row>
    <row r="249" spans="1:2" x14ac:dyDescent="0.25">
      <c r="A249" t="s">
        <v>362</v>
      </c>
      <c r="B249" t="s">
        <v>368</v>
      </c>
    </row>
    <row r="250" spans="1:2" x14ac:dyDescent="0.25">
      <c r="A250" t="s">
        <v>364</v>
      </c>
      <c r="B250" t="s">
        <v>337</v>
      </c>
    </row>
    <row r="253" spans="1:2" x14ac:dyDescent="0.25">
      <c r="A253" t="s">
        <v>358</v>
      </c>
      <c r="B253" t="s">
        <v>303</v>
      </c>
    </row>
    <row r="254" spans="1:2" x14ac:dyDescent="0.25">
      <c r="A254" t="s">
        <v>359</v>
      </c>
      <c r="B254">
        <v>218.9855</v>
      </c>
    </row>
    <row r="255" spans="1:2" x14ac:dyDescent="0.25">
      <c r="A255" t="s">
        <v>360</v>
      </c>
      <c r="B255" t="s">
        <v>371</v>
      </c>
    </row>
    <row r="256" spans="1:2" x14ac:dyDescent="0.25">
      <c r="A256" t="s">
        <v>362</v>
      </c>
      <c r="B256" t="s">
        <v>372</v>
      </c>
    </row>
    <row r="257" spans="1:2" x14ac:dyDescent="0.25">
      <c r="A257" t="s">
        <v>364</v>
      </c>
      <c r="B257" t="s">
        <v>337</v>
      </c>
    </row>
    <row r="260" spans="1:2" x14ac:dyDescent="0.25">
      <c r="A260" t="s">
        <v>358</v>
      </c>
      <c r="B260" t="s">
        <v>303</v>
      </c>
    </row>
    <row r="261" spans="1:2" x14ac:dyDescent="0.25">
      <c r="A261" t="s">
        <v>359</v>
      </c>
      <c r="B261">
        <v>368.97559999999999</v>
      </c>
    </row>
    <row r="262" spans="1:2" x14ac:dyDescent="0.25">
      <c r="A262" t="s">
        <v>360</v>
      </c>
      <c r="B262" t="s">
        <v>373</v>
      </c>
    </row>
    <row r="263" spans="1:2" x14ac:dyDescent="0.25">
      <c r="A263" t="s">
        <v>362</v>
      </c>
      <c r="B263" t="s">
        <v>374</v>
      </c>
    </row>
    <row r="264" spans="1:2" x14ac:dyDescent="0.25">
      <c r="A264" t="s">
        <v>364</v>
      </c>
      <c r="B264" t="s">
        <v>337</v>
      </c>
    </row>
    <row r="268" spans="1:2" x14ac:dyDescent="0.25">
      <c r="A268" t="s">
        <v>357</v>
      </c>
      <c r="B268" t="s">
        <v>303</v>
      </c>
    </row>
    <row r="269" spans="1:2" x14ac:dyDescent="0.25">
      <c r="A269" t="s">
        <v>62</v>
      </c>
      <c r="B269" t="s">
        <v>350</v>
      </c>
    </row>
    <row r="270" spans="1:2" x14ac:dyDescent="0.25">
      <c r="A270" t="s">
        <v>358</v>
      </c>
      <c r="B270" t="s">
        <v>303</v>
      </c>
    </row>
    <row r="271" spans="1:2" x14ac:dyDescent="0.25">
      <c r="A271" t="s">
        <v>359</v>
      </c>
      <c r="B271">
        <v>118.9911</v>
      </c>
    </row>
    <row r="272" spans="1:2" x14ac:dyDescent="0.25">
      <c r="A272" t="s">
        <v>360</v>
      </c>
      <c r="B272" t="s">
        <v>361</v>
      </c>
    </row>
    <row r="273" spans="1:2" x14ac:dyDescent="0.25">
      <c r="A273" t="s">
        <v>362</v>
      </c>
      <c r="B273" t="s">
        <v>363</v>
      </c>
    </row>
    <row r="274" spans="1:2" x14ac:dyDescent="0.25">
      <c r="A274" t="s">
        <v>364</v>
      </c>
      <c r="B274" t="s">
        <v>337</v>
      </c>
    </row>
    <row r="277" spans="1:2" x14ac:dyDescent="0.25">
      <c r="A277" t="s">
        <v>358</v>
      </c>
      <c r="B277" t="s">
        <v>303</v>
      </c>
    </row>
    <row r="278" spans="1:2" x14ac:dyDescent="0.25">
      <c r="A278" t="s">
        <v>359</v>
      </c>
      <c r="B278">
        <v>168.98820000000001</v>
      </c>
    </row>
    <row r="279" spans="1:2" x14ac:dyDescent="0.25">
      <c r="A279" t="s">
        <v>360</v>
      </c>
      <c r="B279" t="s">
        <v>367</v>
      </c>
    </row>
    <row r="280" spans="1:2" x14ac:dyDescent="0.25">
      <c r="A280" t="s">
        <v>362</v>
      </c>
      <c r="B280" t="s">
        <v>368</v>
      </c>
    </row>
    <row r="281" spans="1:2" x14ac:dyDescent="0.25">
      <c r="A281" t="s">
        <v>364</v>
      </c>
      <c r="B281" t="s">
        <v>337</v>
      </c>
    </row>
    <row r="284" spans="1:2" x14ac:dyDescent="0.25">
      <c r="A284" t="s">
        <v>358</v>
      </c>
      <c r="B284" t="s">
        <v>303</v>
      </c>
    </row>
    <row r="285" spans="1:2" x14ac:dyDescent="0.25">
      <c r="A285" t="s">
        <v>359</v>
      </c>
      <c r="B285">
        <v>218.98560000000001</v>
      </c>
    </row>
    <row r="286" spans="1:2" x14ac:dyDescent="0.25">
      <c r="A286" t="s">
        <v>360</v>
      </c>
      <c r="B286" t="s">
        <v>371</v>
      </c>
    </row>
    <row r="287" spans="1:2" x14ac:dyDescent="0.25">
      <c r="A287" t="s">
        <v>362</v>
      </c>
      <c r="B287" t="s">
        <v>372</v>
      </c>
    </row>
    <row r="288" spans="1:2" x14ac:dyDescent="0.25">
      <c r="A288" t="s">
        <v>364</v>
      </c>
      <c r="B288" t="s">
        <v>337</v>
      </c>
    </row>
    <row r="291" spans="1:2" x14ac:dyDescent="0.25">
      <c r="A291" t="s">
        <v>358</v>
      </c>
      <c r="B291" t="s">
        <v>303</v>
      </c>
    </row>
    <row r="292" spans="1:2" x14ac:dyDescent="0.25">
      <c r="A292" t="s">
        <v>359</v>
      </c>
      <c r="B292">
        <v>268.983</v>
      </c>
    </row>
    <row r="293" spans="1:2" x14ac:dyDescent="0.25">
      <c r="A293" t="s">
        <v>360</v>
      </c>
      <c r="B293" t="s">
        <v>365</v>
      </c>
    </row>
    <row r="294" spans="1:2" x14ac:dyDescent="0.25">
      <c r="A294" t="s">
        <v>362</v>
      </c>
      <c r="B294" t="s">
        <v>366</v>
      </c>
    </row>
    <row r="295" spans="1:2" x14ac:dyDescent="0.25">
      <c r="A295" t="s">
        <v>364</v>
      </c>
      <c r="B295" t="s">
        <v>337</v>
      </c>
    </row>
    <row r="299" spans="1:2" x14ac:dyDescent="0.25">
      <c r="A299" t="s">
        <v>357</v>
      </c>
      <c r="B299" t="s">
        <v>303</v>
      </c>
    </row>
    <row r="300" spans="1:2" x14ac:dyDescent="0.25">
      <c r="A300" t="s">
        <v>62</v>
      </c>
      <c r="B300" t="s">
        <v>351</v>
      </c>
    </row>
    <row r="301" spans="1:2" x14ac:dyDescent="0.25">
      <c r="A301" t="s">
        <v>358</v>
      </c>
      <c r="B301" t="s">
        <v>303</v>
      </c>
    </row>
    <row r="302" spans="1:2" x14ac:dyDescent="0.25">
      <c r="A302" t="s">
        <v>359</v>
      </c>
      <c r="B302">
        <v>118.9911</v>
      </c>
    </row>
    <row r="303" spans="1:2" x14ac:dyDescent="0.25">
      <c r="A303" t="s">
        <v>360</v>
      </c>
      <c r="B303" t="s">
        <v>361</v>
      </c>
    </row>
    <row r="304" spans="1:2" x14ac:dyDescent="0.25">
      <c r="A304" t="s">
        <v>362</v>
      </c>
      <c r="B304" t="s">
        <v>363</v>
      </c>
    </row>
    <row r="305" spans="1:2" x14ac:dyDescent="0.25">
      <c r="A305" t="s">
        <v>364</v>
      </c>
      <c r="B305" t="s">
        <v>337</v>
      </c>
    </row>
    <row r="308" spans="1:2" x14ac:dyDescent="0.25">
      <c r="A308" t="s">
        <v>358</v>
      </c>
      <c r="B308" t="s">
        <v>303</v>
      </c>
    </row>
    <row r="309" spans="1:2" x14ac:dyDescent="0.25">
      <c r="A309" t="s">
        <v>359</v>
      </c>
      <c r="B309">
        <v>168.98830000000001</v>
      </c>
    </row>
    <row r="310" spans="1:2" x14ac:dyDescent="0.25">
      <c r="A310" t="s">
        <v>360</v>
      </c>
      <c r="B310" t="s">
        <v>367</v>
      </c>
    </row>
    <row r="311" spans="1:2" x14ac:dyDescent="0.25">
      <c r="A311" t="s">
        <v>362</v>
      </c>
      <c r="B311" t="s">
        <v>368</v>
      </c>
    </row>
    <row r="312" spans="1:2" x14ac:dyDescent="0.25">
      <c r="A312" t="s">
        <v>364</v>
      </c>
      <c r="B312" t="s">
        <v>337</v>
      </c>
    </row>
    <row r="315" spans="1:2" x14ac:dyDescent="0.25">
      <c r="A315" t="s">
        <v>358</v>
      </c>
      <c r="B315" t="s">
        <v>303</v>
      </c>
    </row>
    <row r="316" spans="1:2" x14ac:dyDescent="0.25">
      <c r="A316" t="s">
        <v>359</v>
      </c>
      <c r="B316">
        <v>218.98560000000001</v>
      </c>
    </row>
    <row r="317" spans="1:2" x14ac:dyDescent="0.25">
      <c r="A317" t="s">
        <v>360</v>
      </c>
      <c r="B317" t="s">
        <v>371</v>
      </c>
    </row>
    <row r="318" spans="1:2" x14ac:dyDescent="0.25">
      <c r="A318" t="s">
        <v>362</v>
      </c>
      <c r="B318" t="s">
        <v>372</v>
      </c>
    </row>
    <row r="319" spans="1:2" x14ac:dyDescent="0.25">
      <c r="A319" t="s">
        <v>364</v>
      </c>
      <c r="B319" t="s">
        <v>337</v>
      </c>
    </row>
    <row r="322" spans="1:2" x14ac:dyDescent="0.25">
      <c r="A322" t="s">
        <v>358</v>
      </c>
      <c r="B322" t="s">
        <v>303</v>
      </c>
    </row>
    <row r="323" spans="1:2" x14ac:dyDescent="0.25">
      <c r="A323" t="s">
        <v>359</v>
      </c>
      <c r="B323">
        <v>268.983</v>
      </c>
    </row>
    <row r="324" spans="1:2" x14ac:dyDescent="0.25">
      <c r="A324" t="s">
        <v>360</v>
      </c>
      <c r="B324" t="s">
        <v>365</v>
      </c>
    </row>
    <row r="325" spans="1:2" x14ac:dyDescent="0.25">
      <c r="A325" t="s">
        <v>362</v>
      </c>
      <c r="B325" t="s">
        <v>366</v>
      </c>
    </row>
    <row r="326" spans="1:2" x14ac:dyDescent="0.25">
      <c r="A326" t="s">
        <v>364</v>
      </c>
      <c r="B326" t="s">
        <v>337</v>
      </c>
    </row>
    <row r="330" spans="1:2" x14ac:dyDescent="0.25">
      <c r="A330" t="s">
        <v>357</v>
      </c>
      <c r="B330" t="s">
        <v>303</v>
      </c>
    </row>
    <row r="331" spans="1:2" x14ac:dyDescent="0.25">
      <c r="A331" t="s">
        <v>62</v>
      </c>
      <c r="B331" t="s">
        <v>352</v>
      </c>
    </row>
    <row r="332" spans="1:2" x14ac:dyDescent="0.25">
      <c r="A332" t="s">
        <v>358</v>
      </c>
      <c r="B332" t="s">
        <v>303</v>
      </c>
    </row>
    <row r="333" spans="1:2" x14ac:dyDescent="0.25">
      <c r="A333" t="s">
        <v>359</v>
      </c>
      <c r="B333">
        <v>118.9911</v>
      </c>
    </row>
    <row r="334" spans="1:2" x14ac:dyDescent="0.25">
      <c r="A334" t="s">
        <v>360</v>
      </c>
      <c r="B334" t="s">
        <v>361</v>
      </c>
    </row>
    <row r="335" spans="1:2" x14ac:dyDescent="0.25">
      <c r="A335" t="s">
        <v>362</v>
      </c>
      <c r="B335" t="s">
        <v>363</v>
      </c>
    </row>
    <row r="336" spans="1:2" x14ac:dyDescent="0.25">
      <c r="A336" t="s">
        <v>364</v>
      </c>
      <c r="B336" t="s">
        <v>337</v>
      </c>
    </row>
    <row r="339" spans="1:2" x14ac:dyDescent="0.25">
      <c r="A339" t="s">
        <v>358</v>
      </c>
      <c r="B339" t="s">
        <v>303</v>
      </c>
    </row>
    <row r="340" spans="1:2" x14ac:dyDescent="0.25">
      <c r="A340" t="s">
        <v>359</v>
      </c>
      <c r="B340">
        <v>168.98830000000001</v>
      </c>
    </row>
    <row r="341" spans="1:2" x14ac:dyDescent="0.25">
      <c r="A341" t="s">
        <v>360</v>
      </c>
      <c r="B341" t="s">
        <v>367</v>
      </c>
    </row>
    <row r="342" spans="1:2" x14ac:dyDescent="0.25">
      <c r="A342" t="s">
        <v>362</v>
      </c>
      <c r="B342" t="s">
        <v>368</v>
      </c>
    </row>
    <row r="343" spans="1:2" x14ac:dyDescent="0.25">
      <c r="A343" t="s">
        <v>364</v>
      </c>
      <c r="B343" t="s">
        <v>337</v>
      </c>
    </row>
    <row r="346" spans="1:2" x14ac:dyDescent="0.25">
      <c r="A346" t="s">
        <v>358</v>
      </c>
      <c r="B346" t="s">
        <v>303</v>
      </c>
    </row>
    <row r="347" spans="1:2" x14ac:dyDescent="0.25">
      <c r="A347" t="s">
        <v>359</v>
      </c>
      <c r="B347">
        <v>218.9854</v>
      </c>
    </row>
    <row r="348" spans="1:2" x14ac:dyDescent="0.25">
      <c r="A348" t="s">
        <v>360</v>
      </c>
      <c r="B348" t="s">
        <v>371</v>
      </c>
    </row>
    <row r="349" spans="1:2" x14ac:dyDescent="0.25">
      <c r="A349" t="s">
        <v>362</v>
      </c>
      <c r="B349" t="s">
        <v>372</v>
      </c>
    </row>
    <row r="350" spans="1:2" x14ac:dyDescent="0.25">
      <c r="A350" t="s">
        <v>364</v>
      </c>
      <c r="B350" t="s">
        <v>337</v>
      </c>
    </row>
    <row r="353" spans="1:2" x14ac:dyDescent="0.25">
      <c r="A353" t="s">
        <v>358</v>
      </c>
      <c r="B353" t="s">
        <v>303</v>
      </c>
    </row>
    <row r="354" spans="1:2" x14ac:dyDescent="0.25">
      <c r="A354" t="s">
        <v>359</v>
      </c>
      <c r="B354">
        <v>268.9828</v>
      </c>
    </row>
    <row r="355" spans="1:2" x14ac:dyDescent="0.25">
      <c r="A355" t="s">
        <v>360</v>
      </c>
      <c r="B355" t="s">
        <v>365</v>
      </c>
    </row>
    <row r="356" spans="1:2" x14ac:dyDescent="0.25">
      <c r="A356" t="s">
        <v>362</v>
      </c>
      <c r="B356" t="s">
        <v>366</v>
      </c>
    </row>
    <row r="357" spans="1:2" x14ac:dyDescent="0.25">
      <c r="A357" t="s">
        <v>364</v>
      </c>
      <c r="B357" t="s">
        <v>337</v>
      </c>
    </row>
    <row r="360" spans="1:2" x14ac:dyDescent="0.25">
      <c r="A360" t="s">
        <v>358</v>
      </c>
      <c r="B360" t="s">
        <v>303</v>
      </c>
    </row>
    <row r="361" spans="1:2" x14ac:dyDescent="0.25">
      <c r="A361" t="s">
        <v>359</v>
      </c>
      <c r="B361">
        <v>318.97930000000002</v>
      </c>
    </row>
    <row r="362" spans="1:2" x14ac:dyDescent="0.25">
      <c r="A362" t="s">
        <v>360</v>
      </c>
      <c r="B362" t="s">
        <v>369</v>
      </c>
    </row>
    <row r="363" spans="1:2" x14ac:dyDescent="0.25">
      <c r="A363" t="s">
        <v>362</v>
      </c>
      <c r="B363" t="s">
        <v>370</v>
      </c>
    </row>
    <row r="364" spans="1:2" x14ac:dyDescent="0.25">
      <c r="A364" t="s">
        <v>364</v>
      </c>
      <c r="B364" t="s">
        <v>337</v>
      </c>
    </row>
    <row r="368" spans="1:2" x14ac:dyDescent="0.25">
      <c r="A368" t="s">
        <v>357</v>
      </c>
      <c r="B368" t="s">
        <v>303</v>
      </c>
    </row>
    <row r="369" spans="1:2" x14ac:dyDescent="0.25">
      <c r="A369" t="s">
        <v>62</v>
      </c>
      <c r="B369" t="s">
        <v>353</v>
      </c>
    </row>
    <row r="370" spans="1:2" x14ac:dyDescent="0.25">
      <c r="A370" t="s">
        <v>358</v>
      </c>
      <c r="B370" t="s">
        <v>303</v>
      </c>
    </row>
    <row r="371" spans="1:2" x14ac:dyDescent="0.25">
      <c r="A371" t="s">
        <v>359</v>
      </c>
      <c r="B371">
        <v>118.9911</v>
      </c>
    </row>
    <row r="372" spans="1:2" x14ac:dyDescent="0.25">
      <c r="A372" t="s">
        <v>360</v>
      </c>
      <c r="B372" t="s">
        <v>361</v>
      </c>
    </row>
    <row r="373" spans="1:2" x14ac:dyDescent="0.25">
      <c r="A373" t="s">
        <v>362</v>
      </c>
      <c r="B373" t="s">
        <v>363</v>
      </c>
    </row>
    <row r="374" spans="1:2" x14ac:dyDescent="0.25">
      <c r="A374" t="s">
        <v>364</v>
      </c>
      <c r="B374" t="s">
        <v>337</v>
      </c>
    </row>
    <row r="377" spans="1:2" x14ac:dyDescent="0.25">
      <c r="A377" t="s">
        <v>358</v>
      </c>
      <c r="B377" t="s">
        <v>303</v>
      </c>
    </row>
    <row r="378" spans="1:2" x14ac:dyDescent="0.25">
      <c r="A378" t="s">
        <v>359</v>
      </c>
      <c r="B378">
        <v>168.98820000000001</v>
      </c>
    </row>
    <row r="379" spans="1:2" x14ac:dyDescent="0.25">
      <c r="A379" t="s">
        <v>360</v>
      </c>
      <c r="B379" t="s">
        <v>367</v>
      </c>
    </row>
    <row r="380" spans="1:2" x14ac:dyDescent="0.25">
      <c r="A380" t="s">
        <v>362</v>
      </c>
      <c r="B380" t="s">
        <v>368</v>
      </c>
    </row>
    <row r="381" spans="1:2" x14ac:dyDescent="0.25">
      <c r="A381" t="s">
        <v>364</v>
      </c>
      <c r="B381" t="s">
        <v>337</v>
      </c>
    </row>
    <row r="384" spans="1:2" x14ac:dyDescent="0.25">
      <c r="A384" t="s">
        <v>358</v>
      </c>
      <c r="B384" t="s">
        <v>303</v>
      </c>
    </row>
    <row r="385" spans="1:2" x14ac:dyDescent="0.25">
      <c r="A385" t="s">
        <v>359</v>
      </c>
      <c r="B385">
        <v>218.98560000000001</v>
      </c>
    </row>
    <row r="386" spans="1:2" x14ac:dyDescent="0.25">
      <c r="A386" t="s">
        <v>360</v>
      </c>
      <c r="B386" t="s">
        <v>371</v>
      </c>
    </row>
    <row r="387" spans="1:2" x14ac:dyDescent="0.25">
      <c r="A387" t="s">
        <v>362</v>
      </c>
      <c r="B387" t="s">
        <v>372</v>
      </c>
    </row>
    <row r="388" spans="1:2" x14ac:dyDescent="0.25">
      <c r="A388" t="s">
        <v>364</v>
      </c>
      <c r="B388" t="s">
        <v>337</v>
      </c>
    </row>
    <row r="391" spans="1:2" x14ac:dyDescent="0.25">
      <c r="A391" t="s">
        <v>358</v>
      </c>
      <c r="B391" t="s">
        <v>303</v>
      </c>
    </row>
    <row r="392" spans="1:2" x14ac:dyDescent="0.25">
      <c r="A392" t="s">
        <v>359</v>
      </c>
      <c r="B392">
        <v>268.983</v>
      </c>
    </row>
    <row r="393" spans="1:2" x14ac:dyDescent="0.25">
      <c r="A393" t="s">
        <v>360</v>
      </c>
      <c r="B393" t="s">
        <v>365</v>
      </c>
    </row>
    <row r="394" spans="1:2" x14ac:dyDescent="0.25">
      <c r="A394" t="s">
        <v>362</v>
      </c>
      <c r="B394" t="s">
        <v>366</v>
      </c>
    </row>
    <row r="395" spans="1:2" x14ac:dyDescent="0.25">
      <c r="A395" t="s">
        <v>364</v>
      </c>
      <c r="B395" t="s">
        <v>337</v>
      </c>
    </row>
    <row r="398" spans="1:2" x14ac:dyDescent="0.25">
      <c r="A398" t="s">
        <v>358</v>
      </c>
      <c r="B398" t="s">
        <v>303</v>
      </c>
    </row>
    <row r="399" spans="1:2" x14ac:dyDescent="0.25">
      <c r="A399" t="s">
        <v>359</v>
      </c>
      <c r="B399">
        <v>318.97949999999997</v>
      </c>
    </row>
    <row r="400" spans="1:2" x14ac:dyDescent="0.25">
      <c r="A400" t="s">
        <v>360</v>
      </c>
      <c r="B400" t="s">
        <v>369</v>
      </c>
    </row>
    <row r="401" spans="1:2" x14ac:dyDescent="0.25">
      <c r="A401" t="s">
        <v>362</v>
      </c>
      <c r="B401" t="s">
        <v>370</v>
      </c>
    </row>
    <row r="402" spans="1:2" x14ac:dyDescent="0.25">
      <c r="A402" t="s">
        <v>364</v>
      </c>
      <c r="B402" t="s">
        <v>337</v>
      </c>
    </row>
    <row r="405" spans="1:2" x14ac:dyDescent="0.25">
      <c r="A405" t="s">
        <v>358</v>
      </c>
      <c r="B405" t="s">
        <v>303</v>
      </c>
    </row>
    <row r="406" spans="1:2" x14ac:dyDescent="0.25">
      <c r="A406" t="s">
        <v>359</v>
      </c>
      <c r="B406">
        <v>368.97570000000002</v>
      </c>
    </row>
    <row r="407" spans="1:2" x14ac:dyDescent="0.25">
      <c r="A407" t="s">
        <v>360</v>
      </c>
      <c r="B407" t="s">
        <v>373</v>
      </c>
    </row>
    <row r="408" spans="1:2" x14ac:dyDescent="0.25">
      <c r="A408" t="s">
        <v>362</v>
      </c>
      <c r="B408" t="s">
        <v>374</v>
      </c>
    </row>
    <row r="409" spans="1:2" x14ac:dyDescent="0.25">
      <c r="A409" t="s">
        <v>364</v>
      </c>
      <c r="B409" t="s">
        <v>337</v>
      </c>
    </row>
    <row r="413" spans="1:2" x14ac:dyDescent="0.25">
      <c r="A413" t="s">
        <v>357</v>
      </c>
      <c r="B413" t="s">
        <v>303</v>
      </c>
    </row>
    <row r="414" spans="1:2" x14ac:dyDescent="0.25">
      <c r="A414" t="s">
        <v>62</v>
      </c>
      <c r="B414" t="s">
        <v>354</v>
      </c>
    </row>
    <row r="415" spans="1:2" x14ac:dyDescent="0.25">
      <c r="A415" t="s">
        <v>358</v>
      </c>
      <c r="B415" t="s">
        <v>303</v>
      </c>
    </row>
    <row r="416" spans="1:2" x14ac:dyDescent="0.25">
      <c r="A416" t="s">
        <v>359</v>
      </c>
      <c r="B416">
        <v>118.9911</v>
      </c>
    </row>
    <row r="417" spans="1:2" x14ac:dyDescent="0.25">
      <c r="A417" t="s">
        <v>360</v>
      </c>
      <c r="B417" t="s">
        <v>361</v>
      </c>
    </row>
    <row r="418" spans="1:2" x14ac:dyDescent="0.25">
      <c r="A418" t="s">
        <v>362</v>
      </c>
      <c r="B418" t="s">
        <v>363</v>
      </c>
    </row>
    <row r="419" spans="1:2" x14ac:dyDescent="0.25">
      <c r="A419" t="s">
        <v>364</v>
      </c>
      <c r="B419" t="s">
        <v>337</v>
      </c>
    </row>
    <row r="422" spans="1:2" x14ac:dyDescent="0.25">
      <c r="A422" t="s">
        <v>358</v>
      </c>
      <c r="B422" t="s">
        <v>303</v>
      </c>
    </row>
    <row r="423" spans="1:2" x14ac:dyDescent="0.25">
      <c r="A423" t="s">
        <v>359</v>
      </c>
      <c r="B423">
        <v>168.98830000000001</v>
      </c>
    </row>
    <row r="424" spans="1:2" x14ac:dyDescent="0.25">
      <c r="A424" t="s">
        <v>360</v>
      </c>
      <c r="B424" t="s">
        <v>367</v>
      </c>
    </row>
    <row r="425" spans="1:2" x14ac:dyDescent="0.25">
      <c r="A425" t="s">
        <v>362</v>
      </c>
      <c r="B425" t="s">
        <v>368</v>
      </c>
    </row>
    <row r="426" spans="1:2" x14ac:dyDescent="0.25">
      <c r="A426" t="s">
        <v>364</v>
      </c>
      <c r="B426" t="s">
        <v>337</v>
      </c>
    </row>
    <row r="429" spans="1:2" x14ac:dyDescent="0.25">
      <c r="A429" t="s">
        <v>358</v>
      </c>
      <c r="B429" t="s">
        <v>303</v>
      </c>
    </row>
    <row r="430" spans="1:2" x14ac:dyDescent="0.25">
      <c r="A430" t="s">
        <v>359</v>
      </c>
      <c r="B430">
        <v>218.9855</v>
      </c>
    </row>
    <row r="431" spans="1:2" x14ac:dyDescent="0.25">
      <c r="A431" t="s">
        <v>360</v>
      </c>
      <c r="B431" t="s">
        <v>371</v>
      </c>
    </row>
    <row r="432" spans="1:2" x14ac:dyDescent="0.25">
      <c r="A432" t="s">
        <v>362</v>
      </c>
      <c r="B432" t="s">
        <v>372</v>
      </c>
    </row>
    <row r="433" spans="1:2" x14ac:dyDescent="0.25">
      <c r="A433" t="s">
        <v>364</v>
      </c>
      <c r="B433" t="s">
        <v>337</v>
      </c>
    </row>
    <row r="436" spans="1:2" x14ac:dyDescent="0.25">
      <c r="A436" t="s">
        <v>358</v>
      </c>
      <c r="B436" t="s">
        <v>303</v>
      </c>
    </row>
    <row r="437" spans="1:2" x14ac:dyDescent="0.25">
      <c r="A437" t="s">
        <v>359</v>
      </c>
      <c r="B437">
        <v>268.98309999999998</v>
      </c>
    </row>
    <row r="438" spans="1:2" x14ac:dyDescent="0.25">
      <c r="A438" t="s">
        <v>360</v>
      </c>
      <c r="B438" t="s">
        <v>365</v>
      </c>
    </row>
    <row r="439" spans="1:2" x14ac:dyDescent="0.25">
      <c r="A439" t="s">
        <v>362</v>
      </c>
      <c r="B439" t="s">
        <v>366</v>
      </c>
    </row>
    <row r="440" spans="1:2" x14ac:dyDescent="0.25">
      <c r="A440" t="s">
        <v>364</v>
      </c>
      <c r="B440" t="s">
        <v>337</v>
      </c>
    </row>
    <row r="443" spans="1:2" x14ac:dyDescent="0.25">
      <c r="A443" t="s">
        <v>358</v>
      </c>
      <c r="B443" t="s">
        <v>303</v>
      </c>
    </row>
    <row r="444" spans="1:2" x14ac:dyDescent="0.25">
      <c r="A444" t="s">
        <v>359</v>
      </c>
      <c r="B444">
        <v>318.9796</v>
      </c>
    </row>
    <row r="445" spans="1:2" x14ac:dyDescent="0.25">
      <c r="A445" t="s">
        <v>360</v>
      </c>
      <c r="B445" t="s">
        <v>369</v>
      </c>
    </row>
    <row r="446" spans="1:2" x14ac:dyDescent="0.25">
      <c r="A446" t="s">
        <v>362</v>
      </c>
      <c r="B446" t="s">
        <v>370</v>
      </c>
    </row>
    <row r="447" spans="1:2" x14ac:dyDescent="0.25">
      <c r="A447" t="s">
        <v>364</v>
      </c>
      <c r="B447" t="s">
        <v>337</v>
      </c>
    </row>
    <row r="450" spans="1:2" x14ac:dyDescent="0.25">
      <c r="A450" t="s">
        <v>358</v>
      </c>
      <c r="B450" t="s">
        <v>303</v>
      </c>
    </row>
    <row r="451" spans="1:2" x14ac:dyDescent="0.25">
      <c r="A451" t="s">
        <v>359</v>
      </c>
      <c r="B451">
        <v>368.97750000000002</v>
      </c>
    </row>
    <row r="452" spans="1:2" x14ac:dyDescent="0.25">
      <c r="A452" t="s">
        <v>360</v>
      </c>
      <c r="B452" t="s">
        <v>373</v>
      </c>
    </row>
    <row r="453" spans="1:2" x14ac:dyDescent="0.25">
      <c r="A453" t="s">
        <v>362</v>
      </c>
      <c r="B453" t="s">
        <v>374</v>
      </c>
    </row>
    <row r="454" spans="1:2" x14ac:dyDescent="0.25">
      <c r="A454" t="s">
        <v>364</v>
      </c>
      <c r="B454" t="s">
        <v>337</v>
      </c>
    </row>
    <row r="458" spans="1:2" x14ac:dyDescent="0.25">
      <c r="A458" t="s">
        <v>357</v>
      </c>
      <c r="B458" t="s">
        <v>303</v>
      </c>
    </row>
    <row r="459" spans="1:2" x14ac:dyDescent="0.25">
      <c r="A459" t="s">
        <v>62</v>
      </c>
      <c r="B459" t="s">
        <v>355</v>
      </c>
    </row>
    <row r="460" spans="1:2" x14ac:dyDescent="0.25">
      <c r="A460" t="s">
        <v>358</v>
      </c>
      <c r="B460" t="s">
        <v>303</v>
      </c>
    </row>
    <row r="461" spans="1:2" x14ac:dyDescent="0.25">
      <c r="A461" t="s">
        <v>359</v>
      </c>
      <c r="B461">
        <v>118.9911</v>
      </c>
    </row>
    <row r="462" spans="1:2" x14ac:dyDescent="0.25">
      <c r="A462" t="s">
        <v>360</v>
      </c>
      <c r="B462" t="s">
        <v>361</v>
      </c>
    </row>
    <row r="463" spans="1:2" x14ac:dyDescent="0.25">
      <c r="A463" t="s">
        <v>362</v>
      </c>
      <c r="B463" t="s">
        <v>363</v>
      </c>
    </row>
    <row r="464" spans="1:2" x14ac:dyDescent="0.25">
      <c r="A464" t="s">
        <v>364</v>
      </c>
      <c r="B464" t="s">
        <v>337</v>
      </c>
    </row>
    <row r="467" spans="1:2" x14ac:dyDescent="0.25">
      <c r="A467" t="s">
        <v>358</v>
      </c>
      <c r="B467" t="s">
        <v>303</v>
      </c>
    </row>
    <row r="468" spans="1:2" x14ac:dyDescent="0.25">
      <c r="A468" t="s">
        <v>359</v>
      </c>
      <c r="B468">
        <v>168.98830000000001</v>
      </c>
    </row>
    <row r="469" spans="1:2" x14ac:dyDescent="0.25">
      <c r="A469" t="s">
        <v>360</v>
      </c>
      <c r="B469" t="s">
        <v>367</v>
      </c>
    </row>
    <row r="470" spans="1:2" x14ac:dyDescent="0.25">
      <c r="A470" t="s">
        <v>362</v>
      </c>
      <c r="B470" t="s">
        <v>368</v>
      </c>
    </row>
    <row r="471" spans="1:2" x14ac:dyDescent="0.25">
      <c r="A471" t="s">
        <v>364</v>
      </c>
      <c r="B471" t="s">
        <v>337</v>
      </c>
    </row>
    <row r="474" spans="1:2" x14ac:dyDescent="0.25">
      <c r="A474" t="s">
        <v>358</v>
      </c>
      <c r="B474" t="s">
        <v>303</v>
      </c>
    </row>
    <row r="475" spans="1:2" x14ac:dyDescent="0.25">
      <c r="A475" t="s">
        <v>359</v>
      </c>
      <c r="B475">
        <v>218.9855</v>
      </c>
    </row>
    <row r="476" spans="1:2" x14ac:dyDescent="0.25">
      <c r="A476" t="s">
        <v>360</v>
      </c>
      <c r="B476" t="s">
        <v>371</v>
      </c>
    </row>
    <row r="477" spans="1:2" x14ac:dyDescent="0.25">
      <c r="A477" t="s">
        <v>362</v>
      </c>
      <c r="B477" t="s">
        <v>372</v>
      </c>
    </row>
    <row r="478" spans="1:2" x14ac:dyDescent="0.25">
      <c r="A478" t="s">
        <v>364</v>
      </c>
      <c r="B478" t="s">
        <v>337</v>
      </c>
    </row>
    <row r="481" spans="1:2" x14ac:dyDescent="0.25">
      <c r="A481" t="s">
        <v>358</v>
      </c>
      <c r="B481" t="s">
        <v>303</v>
      </c>
    </row>
    <row r="482" spans="1:2" x14ac:dyDescent="0.25">
      <c r="A482" t="s">
        <v>359</v>
      </c>
      <c r="B482">
        <v>268.98309999999998</v>
      </c>
    </row>
    <row r="483" spans="1:2" x14ac:dyDescent="0.25">
      <c r="A483" t="s">
        <v>360</v>
      </c>
      <c r="B483" t="s">
        <v>365</v>
      </c>
    </row>
    <row r="484" spans="1:2" x14ac:dyDescent="0.25">
      <c r="A484" t="s">
        <v>362</v>
      </c>
      <c r="B484" t="s">
        <v>366</v>
      </c>
    </row>
    <row r="485" spans="1:2" x14ac:dyDescent="0.25">
      <c r="A485" t="s">
        <v>364</v>
      </c>
      <c r="B485" t="s">
        <v>337</v>
      </c>
    </row>
    <row r="488" spans="1:2" x14ac:dyDescent="0.25">
      <c r="A488" t="s">
        <v>358</v>
      </c>
      <c r="B488" t="s">
        <v>303</v>
      </c>
    </row>
    <row r="489" spans="1:2" x14ac:dyDescent="0.25">
      <c r="A489" t="s">
        <v>359</v>
      </c>
      <c r="B489">
        <v>318.97980000000001</v>
      </c>
    </row>
    <row r="490" spans="1:2" x14ac:dyDescent="0.25">
      <c r="A490" t="s">
        <v>360</v>
      </c>
      <c r="B490" t="s">
        <v>369</v>
      </c>
    </row>
    <row r="491" spans="1:2" x14ac:dyDescent="0.25">
      <c r="A491" t="s">
        <v>362</v>
      </c>
      <c r="B491" t="s">
        <v>370</v>
      </c>
    </row>
    <row r="492" spans="1:2" x14ac:dyDescent="0.25">
      <c r="A492" t="s">
        <v>364</v>
      </c>
      <c r="B492" t="s">
        <v>337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E15" sqref="E15"/>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227</v>
      </c>
    </row>
    <row r="4" spans="1:6" x14ac:dyDescent="0.25">
      <c r="A4" t="s">
        <v>5</v>
      </c>
      <c r="B4" s="13" t="s">
        <v>76</v>
      </c>
      <c r="D4" t="s">
        <v>135</v>
      </c>
      <c r="F4" s="16" t="s">
        <v>254</v>
      </c>
    </row>
    <row r="5" spans="1:6" x14ac:dyDescent="0.25">
      <c r="A5" t="s">
        <v>27</v>
      </c>
      <c r="B5" s="13" t="s">
        <v>7</v>
      </c>
      <c r="D5" t="s">
        <v>29</v>
      </c>
      <c r="F5" s="20" t="s">
        <v>255</v>
      </c>
    </row>
    <row r="6" spans="1:6" x14ac:dyDescent="0.25">
      <c r="A6" t="s">
        <v>133</v>
      </c>
      <c r="B6" s="13" t="s">
        <v>279</v>
      </c>
      <c r="D6" t="s">
        <v>134</v>
      </c>
    </row>
    <row r="7" spans="1:6" x14ac:dyDescent="0.25">
      <c r="A7" t="s">
        <v>251</v>
      </c>
      <c r="B7" s="13" t="s">
        <v>91</v>
      </c>
      <c r="D7" t="s">
        <v>124</v>
      </c>
    </row>
    <row r="8" spans="1:6" x14ac:dyDescent="0.25">
      <c r="A8" t="s">
        <v>1</v>
      </c>
      <c r="B8" s="13" t="s">
        <v>91</v>
      </c>
      <c r="D8" t="s">
        <v>15</v>
      </c>
    </row>
    <row r="9" spans="1:6" x14ac:dyDescent="0.25">
      <c r="A9" t="s">
        <v>2</v>
      </c>
      <c r="B9" s="13" t="s">
        <v>86</v>
      </c>
      <c r="D9" t="s">
        <v>16</v>
      </c>
    </row>
    <row r="10" spans="1:6" x14ac:dyDescent="0.25">
      <c r="A10" t="s">
        <v>8</v>
      </c>
      <c r="B10" s="13" t="s">
        <v>87</v>
      </c>
      <c r="D10" t="s">
        <v>136</v>
      </c>
    </row>
    <row r="11" spans="1:6" x14ac:dyDescent="0.25">
      <c r="A11" t="s">
        <v>9</v>
      </c>
      <c r="B11" s="13" t="s">
        <v>86</v>
      </c>
      <c r="D11" t="s">
        <v>17</v>
      </c>
    </row>
    <row r="12" spans="1:6" x14ac:dyDescent="0.25">
      <c r="A12" t="s">
        <v>10</v>
      </c>
      <c r="B12" s="13" t="s">
        <v>14</v>
      </c>
      <c r="D12" t="s">
        <v>18</v>
      </c>
    </row>
    <row r="13" spans="1:6" x14ac:dyDescent="0.25">
      <c r="A13" t="s">
        <v>11</v>
      </c>
      <c r="B13" s="13" t="s">
        <v>14</v>
      </c>
      <c r="D13" t="s">
        <v>19</v>
      </c>
    </row>
    <row r="14" spans="1:6" x14ac:dyDescent="0.25">
      <c r="A14" t="s">
        <v>12</v>
      </c>
      <c r="B14" s="13" t="s">
        <v>14</v>
      </c>
      <c r="D14" t="s">
        <v>20</v>
      </c>
    </row>
    <row r="15" spans="1:6" x14ac:dyDescent="0.25">
      <c r="A15" t="s">
        <v>13</v>
      </c>
      <c r="B15" s="13" t="s">
        <v>14</v>
      </c>
      <c r="D15" t="s">
        <v>21</v>
      </c>
    </row>
    <row r="16" spans="1:6" x14ac:dyDescent="0.25">
      <c r="A16" t="s">
        <v>137</v>
      </c>
      <c r="B16" s="14" t="s">
        <v>14</v>
      </c>
      <c r="D16" t="s">
        <v>138</v>
      </c>
    </row>
    <row r="17" spans="1:4" x14ac:dyDescent="0.25">
      <c r="A17" t="s">
        <v>174</v>
      </c>
      <c r="B17" s="21"/>
      <c r="D17" t="s">
        <v>142</v>
      </c>
    </row>
    <row r="18" spans="1:4" x14ac:dyDescent="0.25">
      <c r="A18" t="s">
        <v>140</v>
      </c>
      <c r="B18" s="14" t="s">
        <v>14</v>
      </c>
      <c r="D18" t="s">
        <v>141</v>
      </c>
    </row>
    <row r="19" spans="1:4" x14ac:dyDescent="0.25">
      <c r="A19" t="s">
        <v>162</v>
      </c>
      <c r="B19" s="21"/>
      <c r="D19" t="s">
        <v>165</v>
      </c>
    </row>
    <row r="20" spans="1:4" x14ac:dyDescent="0.25">
      <c r="A20" t="s">
        <v>163</v>
      </c>
      <c r="B20" s="21"/>
      <c r="D20" t="s">
        <v>166</v>
      </c>
    </row>
    <row r="21" spans="1:4" x14ac:dyDescent="0.25">
      <c r="A21" t="s">
        <v>164</v>
      </c>
      <c r="B21" s="21"/>
      <c r="D21" t="s">
        <v>167</v>
      </c>
    </row>
    <row r="22" spans="1:4" x14ac:dyDescent="0.25">
      <c r="A22" t="s">
        <v>169</v>
      </c>
      <c r="B22" s="13" t="s">
        <v>28</v>
      </c>
      <c r="D22" t="s">
        <v>139</v>
      </c>
    </row>
    <row r="23" spans="1:4" x14ac:dyDescent="0.25">
      <c r="A23" t="s">
        <v>175</v>
      </c>
      <c r="B23" s="13" t="s">
        <v>280</v>
      </c>
      <c r="D23" t="s">
        <v>22</v>
      </c>
    </row>
    <row r="24" spans="1:4" x14ac:dyDescent="0.25">
      <c r="A24" t="s">
        <v>170</v>
      </c>
      <c r="B24" s="13" t="s">
        <v>281</v>
      </c>
      <c r="D24" t="s">
        <v>23</v>
      </c>
    </row>
    <row r="25" spans="1:4" x14ac:dyDescent="0.25">
      <c r="A25" t="s">
        <v>171</v>
      </c>
      <c r="B25" s="13">
        <v>2.1</v>
      </c>
      <c r="D25" t="s">
        <v>24</v>
      </c>
    </row>
    <row r="26" spans="1:4" x14ac:dyDescent="0.25">
      <c r="A26" t="s">
        <v>172</v>
      </c>
      <c r="B26" s="13">
        <v>50</v>
      </c>
      <c r="D26" t="s">
        <v>25</v>
      </c>
    </row>
    <row r="27" spans="1:4" x14ac:dyDescent="0.25">
      <c r="A27" t="s">
        <v>173</v>
      </c>
      <c r="B27" s="13">
        <v>2.7</v>
      </c>
      <c r="D27" t="s">
        <v>26</v>
      </c>
    </row>
    <row r="28" spans="1:4" x14ac:dyDescent="0.25">
      <c r="A28" t="s">
        <v>239</v>
      </c>
      <c r="B28" s="17"/>
      <c r="D28" t="s">
        <v>232</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762114FD-6227-4718-90F5-08145D7F315A}">
          <x14:formula1>
            <xm:f>Input_Validation!$B$3:$B$6</xm:f>
          </x14:formula1>
          <xm:sqref>B4</xm:sqref>
        </x14:dataValidation>
        <x14:dataValidation type="list" allowBlank="1" showInputMessage="1" showErrorMessage="1" promptTitle="Chromatograph Vendor" prompt="Vendor/Manufacturer of the chromatograph used" xr:uid="{9E127427-F93A-4C7D-83F6-D03369F621EA}">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66271805-9AD1-4CA2-BF74-3C14FF888E44}">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58593BE5-27A9-4B49-AFFB-19CD8B06C817}">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C5ECEC4-4EDD-4CEB-9FD6-308F98F2E6CA}">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1E52D1C5-1D1C-4CC7-9832-6D3F785430E1}">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972B2C46-5D32-49B0-A185-2C68DC77F302}">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74EE321D-33B9-4D4C-B1E5-8D229C9DFEF3}">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7AC464D1-0658-4D39-97EC-CBF10782C320}">
          <x14:formula1>
            <xm:f>Input_Validation!$K$3:$K$11</xm:f>
          </x14:formula1>
          <xm:sqref>B14</xm:sqref>
        </x14:dataValidation>
        <x14:dataValidation type="list" allowBlank="1" showInputMessage="1" showErrorMessage="1" promptTitle="Guard Column Vendor" prompt="Vendor/Manufacturer of the guard column, use &quot;none&quot; if not used." xr:uid="{A9454992-3248-4281-BBBE-D946C2BD8FE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0E58D699-E38C-456E-A797-3811B24CA526}">
          <x14:formula1>
            <xm:f>Input_Validation!$P$3:$P$11</xm:f>
          </x14:formula1>
          <xm:sqref>B18</xm:sqref>
        </x14:dataValidation>
        <x14:dataValidation type="list" allowBlank="1" showInputMessage="1" showErrorMessage="1" promptTitle="Analytical Column Vendor" prompt="Vendor/Manufacturer of the analytical column" xr:uid="{DD1E7D9B-33A7-4C02-BBE4-AE40B385DBF9}">
          <x14:formula1>
            <xm:f>Input_Validation!$M$3:$M$10</xm:f>
          </x14:formula1>
          <xm:sqref>B22</xm:sqref>
        </x14:dataValidation>
        <x14:dataValidation type="list" allowBlank="1" showInputMessage="1" showErrorMessage="1" promptTitle="Analytical Column Phase" prompt="Stationary phase chemistry/ligand of the chromatography column" xr:uid="{1213F4F6-4AD7-4863-BD46-7B524B1E619F}">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B31" sqref="B31"/>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227</v>
      </c>
    </row>
    <row r="4" spans="1:6" x14ac:dyDescent="0.25">
      <c r="A4" t="s">
        <v>31</v>
      </c>
      <c r="B4" s="13" t="s">
        <v>7</v>
      </c>
      <c r="D4" t="s">
        <v>132</v>
      </c>
      <c r="F4" s="16" t="s">
        <v>254</v>
      </c>
    </row>
    <row r="5" spans="1:6" x14ac:dyDescent="0.25">
      <c r="A5" t="s">
        <v>130</v>
      </c>
      <c r="B5" s="13" t="s">
        <v>282</v>
      </c>
      <c r="D5" t="s">
        <v>131</v>
      </c>
      <c r="F5" s="20" t="s">
        <v>255</v>
      </c>
    </row>
    <row r="6" spans="1:6" x14ac:dyDescent="0.25">
      <c r="A6" t="s">
        <v>32</v>
      </c>
      <c r="B6" s="13" t="s">
        <v>283</v>
      </c>
      <c r="D6" t="s">
        <v>233</v>
      </c>
    </row>
    <row r="7" spans="1:6" x14ac:dyDescent="0.25">
      <c r="A7" t="s">
        <v>33</v>
      </c>
      <c r="B7" s="13" t="s">
        <v>34</v>
      </c>
      <c r="D7" t="s">
        <v>35</v>
      </c>
    </row>
    <row r="8" spans="1:6" x14ac:dyDescent="0.25">
      <c r="A8" t="s">
        <v>228</v>
      </c>
      <c r="B8" s="13">
        <v>2500</v>
      </c>
      <c r="D8" t="s">
        <v>234</v>
      </c>
    </row>
    <row r="9" spans="1:6" x14ac:dyDescent="0.25">
      <c r="A9" t="s">
        <v>36</v>
      </c>
      <c r="B9" s="13" t="s">
        <v>37</v>
      </c>
      <c r="D9" t="s">
        <v>38</v>
      </c>
    </row>
    <row r="10" spans="1:6" x14ac:dyDescent="0.25">
      <c r="A10" t="s">
        <v>39</v>
      </c>
      <c r="B10" s="13" t="s">
        <v>40</v>
      </c>
      <c r="D10" t="s">
        <v>41</v>
      </c>
    </row>
    <row r="11" spans="1:6" x14ac:dyDescent="0.25">
      <c r="A11" t="s">
        <v>42</v>
      </c>
      <c r="B11" s="13" t="s">
        <v>43</v>
      </c>
      <c r="D11" t="s">
        <v>44</v>
      </c>
    </row>
    <row r="12" spans="1:6" x14ac:dyDescent="0.25">
      <c r="A12" t="s">
        <v>176</v>
      </c>
      <c r="B12" s="13" t="s">
        <v>45</v>
      </c>
      <c r="D12" t="s">
        <v>46</v>
      </c>
    </row>
    <row r="13" spans="1:6" x14ac:dyDescent="0.25">
      <c r="A13" t="s">
        <v>229</v>
      </c>
      <c r="B13" s="13">
        <v>30</v>
      </c>
      <c r="D13" t="s">
        <v>235</v>
      </c>
    </row>
    <row r="14" spans="1:6" x14ac:dyDescent="0.25">
      <c r="A14" t="s">
        <v>178</v>
      </c>
      <c r="B14" s="13" t="s">
        <v>118</v>
      </c>
      <c r="D14" t="s">
        <v>236</v>
      </c>
    </row>
    <row r="15" spans="1:6" x14ac:dyDescent="0.25">
      <c r="A15" t="s">
        <v>179</v>
      </c>
      <c r="B15" s="13" t="s">
        <v>116</v>
      </c>
      <c r="D15" t="s">
        <v>237</v>
      </c>
    </row>
    <row r="16" spans="1:6" x14ac:dyDescent="0.25">
      <c r="A16" t="s">
        <v>58</v>
      </c>
      <c r="B16" s="13" t="s">
        <v>284</v>
      </c>
      <c r="D16" t="s">
        <v>59</v>
      </c>
    </row>
    <row r="17" spans="1:4" x14ac:dyDescent="0.25">
      <c r="A17" t="s">
        <v>60</v>
      </c>
      <c r="B17" s="22">
        <v>0.7</v>
      </c>
      <c r="D17" t="s">
        <v>61</v>
      </c>
    </row>
    <row r="18" spans="1:4" x14ac:dyDescent="0.25">
      <c r="A18" t="s">
        <v>180</v>
      </c>
      <c r="B18" s="13">
        <v>5</v>
      </c>
      <c r="D18" t="s">
        <v>125</v>
      </c>
    </row>
    <row r="19" spans="1:4" x14ac:dyDescent="0.25">
      <c r="A19" t="s">
        <v>126</v>
      </c>
      <c r="B19" s="13">
        <v>70000</v>
      </c>
      <c r="D19" t="s">
        <v>128</v>
      </c>
    </row>
    <row r="20" spans="1:4" x14ac:dyDescent="0.25">
      <c r="A20" t="s">
        <v>127</v>
      </c>
      <c r="B20" s="22">
        <v>17500</v>
      </c>
      <c r="D20" t="s">
        <v>129</v>
      </c>
    </row>
    <row r="21" spans="1:4" x14ac:dyDescent="0.25">
      <c r="A21" t="s">
        <v>238</v>
      </c>
      <c r="B21" s="19"/>
      <c r="D21" t="s">
        <v>232</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24900E79-630C-4062-84B7-7AEA7AAFC683}">
          <x14:formula1>
            <xm:f>Input_Validation!$Q$3:$Q$8</xm:f>
          </x14:formula1>
          <xm:sqref>B4</xm:sqref>
        </x14:dataValidation>
        <x14:dataValidation type="list" allowBlank="1" showInputMessage="1" showErrorMessage="1" promptTitle="Ionization Mode" prompt="Mode of ionization of the mass spectrometer." xr:uid="{D4CE896B-F5B8-47CE-B4D2-3E4CD71FFEB1}">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2FFB05FA-1F2E-449C-8CA4-D6A73C7D4E1C}">
          <x14:formula1>
            <xm:f>Input_Validation!$S$3:$S$4</xm:f>
          </x14:formula1>
          <xm:sqref>B7</xm:sqref>
        </x14:dataValidation>
        <x14:dataValidation type="list" allowBlank="1" showInputMessage="1" showErrorMessage="1" promptTitle="Ionization Voltage/Current Units" prompt="Units for the above-noted ionization voltage or current." xr:uid="{84077CAE-F587-4C1C-8F07-77F47B4A9B2B}">
          <x14:formula1>
            <xm:f>Input_Validation!$T$3:$T$7</xm:f>
          </x14:formula1>
          <xm:sqref>B9</xm:sqref>
        </x14:dataValidation>
        <x14:dataValidation type="list" allowBlank="1" showInputMessage="1" showErrorMessage="1" promptTitle="First Mass Analyzer" prompt="First mass analyzer in the mass spectrometer." xr:uid="{FC51DDC4-B5F4-468D-BA04-D476024BFA56}">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73806718-64D3-4DE9-90B6-C8B8F9FDF55F}">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11E0CD39-BF93-430E-A64D-966F8EC4F9AF}">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8E9216C4-259D-4A30-B93E-FCEE901DD9EC}">
          <x14:formula1>
            <xm:f>Input_Validation!$X$3:$X$4</xm:f>
          </x14:formula1>
          <xm:sqref>B14</xm:sqref>
        </x14:dataValidation>
        <x14:dataValidation type="list" allowBlank="1" showInputMessage="1" showErrorMessage="1" promptTitle="Fragmentation Energy Units" prompt="Units of the fragmentation/collision energy value above." xr:uid="{10A9E806-0B83-4713-B37D-6132EE3DD19F}">
          <x14:formula1>
            <xm:f>Input_Validation!$Y$3:$Y$4</xm:f>
          </x14:formula1>
          <xm:sqref>B15</xm:sqref>
        </x14:dataValidation>
        <x14:dataValidation type="list" allowBlank="1" showInputMessage="1" showErrorMessage="1" promptTitle="MS2 Experiment" prompt="Type of fragmentation/MS2 experiment." xr:uid="{7FF44012-AEA8-4664-AFEB-0809A6000FD0}">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B4" sqref="B4:B8"/>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241</v>
      </c>
      <c r="D3" s="4"/>
      <c r="E3" s="1" t="s">
        <v>227</v>
      </c>
    </row>
    <row r="4" spans="1:7" x14ac:dyDescent="0.25">
      <c r="A4" t="s">
        <v>240</v>
      </c>
      <c r="B4" s="13" t="b">
        <v>1</v>
      </c>
      <c r="C4" s="23"/>
      <c r="E4" t="s">
        <v>51</v>
      </c>
      <c r="G4" s="16" t="s">
        <v>254</v>
      </c>
    </row>
    <row r="5" spans="1:7" x14ac:dyDescent="0.25">
      <c r="A5" t="s">
        <v>47</v>
      </c>
      <c r="B5" s="13" t="b">
        <v>1</v>
      </c>
      <c r="C5" s="23"/>
      <c r="E5" t="s">
        <v>51</v>
      </c>
    </row>
    <row r="6" spans="1:7" x14ac:dyDescent="0.25">
      <c r="A6" t="s">
        <v>48</v>
      </c>
      <c r="B6" s="13" t="b">
        <v>1</v>
      </c>
      <c r="C6" s="23"/>
      <c r="E6" t="s">
        <v>51</v>
      </c>
    </row>
    <row r="7" spans="1:7" x14ac:dyDescent="0.25">
      <c r="A7" t="s">
        <v>49</v>
      </c>
      <c r="B7" s="13" t="b">
        <v>0</v>
      </c>
      <c r="C7" s="23"/>
      <c r="E7" t="s">
        <v>51</v>
      </c>
    </row>
    <row r="8" spans="1:7" x14ac:dyDescent="0.25">
      <c r="A8" t="s">
        <v>50</v>
      </c>
      <c r="B8" s="13" t="b">
        <v>0</v>
      </c>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1444769E-6184-4CC9-BD6B-D1C92358E5F3}">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4B725AC1-6AF4-4AEB-A30E-197CBB3F8595}">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4E4B72E2-8D36-4D25-924F-1C7116FE0D3F}">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EF3DA22A-BBFC-4097-ABF8-8B3DBA1F272F}">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2F3E5484-E567-4B8A-91FE-C63F650ADB15}">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F22" sqref="F22"/>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256</v>
      </c>
      <c r="E1" s="26"/>
      <c r="F1" s="27"/>
    </row>
    <row r="2" spans="1:8" x14ac:dyDescent="0.25">
      <c r="A2" s="1" t="s">
        <v>6</v>
      </c>
      <c r="B2" s="9"/>
      <c r="C2" s="9"/>
    </row>
    <row r="3" spans="1:8" x14ac:dyDescent="0.25">
      <c r="A3" s="5" t="s">
        <v>62</v>
      </c>
      <c r="B3" s="8" t="s">
        <v>181</v>
      </c>
      <c r="C3" s="5" t="s">
        <v>183</v>
      </c>
      <c r="D3" s="5" t="s">
        <v>63</v>
      </c>
      <c r="E3" s="5" t="s">
        <v>64</v>
      </c>
      <c r="F3" s="5" t="s">
        <v>65</v>
      </c>
      <c r="G3" s="5" t="s">
        <v>66</v>
      </c>
      <c r="H3" s="8" t="s">
        <v>261</v>
      </c>
    </row>
    <row r="4" spans="1:8" x14ac:dyDescent="0.25">
      <c r="A4" s="10" t="s">
        <v>290</v>
      </c>
      <c r="B4" s="10">
        <v>2643</v>
      </c>
      <c r="C4" s="10" t="s">
        <v>193</v>
      </c>
      <c r="D4" s="10">
        <v>312.97300000000001</v>
      </c>
      <c r="E4" s="10">
        <v>10.8</v>
      </c>
      <c r="F4" s="10">
        <v>10.5</v>
      </c>
      <c r="G4" s="10">
        <v>11.1</v>
      </c>
      <c r="H4" s="10" t="s">
        <v>376</v>
      </c>
    </row>
    <row r="5" spans="1:8" x14ac:dyDescent="0.25">
      <c r="A5" s="10" t="s">
        <v>291</v>
      </c>
      <c r="B5" s="10">
        <v>2640</v>
      </c>
      <c r="C5" s="10" t="s">
        <v>193</v>
      </c>
      <c r="D5" s="10">
        <v>362.9699</v>
      </c>
      <c r="E5" s="10">
        <v>12.09</v>
      </c>
      <c r="F5" s="10">
        <v>11.9</v>
      </c>
      <c r="G5" s="10">
        <v>12.4</v>
      </c>
      <c r="H5" s="10" t="s">
        <v>376</v>
      </c>
    </row>
    <row r="6" spans="1:8" x14ac:dyDescent="0.25">
      <c r="A6" s="10" t="s">
        <v>292</v>
      </c>
      <c r="B6" s="10">
        <v>2637</v>
      </c>
      <c r="C6" s="10" t="s">
        <v>193</v>
      </c>
      <c r="D6" s="10">
        <v>412.9665</v>
      </c>
      <c r="E6" s="10">
        <v>13.05</v>
      </c>
      <c r="F6" s="10">
        <v>12.8</v>
      </c>
      <c r="G6" s="10">
        <v>13.4</v>
      </c>
      <c r="H6" s="10" t="s">
        <v>376</v>
      </c>
    </row>
    <row r="7" spans="1:8" x14ac:dyDescent="0.25">
      <c r="C7" s="10"/>
      <c r="H7" s="10"/>
    </row>
    <row r="8" spans="1:8" x14ac:dyDescent="0.25">
      <c r="C8" s="10"/>
      <c r="H8" s="10"/>
    </row>
    <row r="9" spans="1:8" x14ac:dyDescent="0.25">
      <c r="C9" s="10"/>
      <c r="H9" s="10"/>
    </row>
    <row r="10" spans="1:8" x14ac:dyDescent="0.25">
      <c r="C10" s="10"/>
      <c r="H10" s="10"/>
    </row>
    <row r="11" spans="1:8" x14ac:dyDescent="0.25">
      <c r="C11" s="10"/>
      <c r="H11" s="10"/>
    </row>
    <row r="12" spans="1:8" x14ac:dyDescent="0.25">
      <c r="C12" s="10"/>
      <c r="E12" s="10"/>
      <c r="F12" s="10"/>
      <c r="G12" s="10"/>
      <c r="H12" s="10"/>
    </row>
    <row r="13" spans="1:8" x14ac:dyDescent="0.25">
      <c r="C13" s="10"/>
      <c r="H13"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sheetProtection sheet="1" objects="1" scenarios="1"/>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1">
        <x14:dataValidation type="list" allowBlank="1" showInputMessage="1" showErrorMessage="1" promptTitle="confidence" prompt="The confidence level of the identification, based on the Charbonnet et al (DOI TBD)" xr:uid="{19555C32-0C85-42A4-9C71-BA3AADA6F07D}">
          <x14:formula1>
            <xm:f>Input_Validation!$AG$3:$AG$15</xm:f>
          </x14:formula1>
          <xm:sqref>H4:H1048576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73B8C-9F15-4A38-9F61-409FBB9E837A}">
  <dimension ref="A1:E5"/>
  <sheetViews>
    <sheetView workbookViewId="0">
      <selection activeCell="E5" sqref="E5"/>
    </sheetView>
  </sheetViews>
  <sheetFormatPr defaultRowHeight="15" x14ac:dyDescent="0.25"/>
  <cols>
    <col min="1" max="5" width="27.7109375" customWidth="1"/>
  </cols>
  <sheetData>
    <row r="1" spans="1:5" ht="18.75" x14ac:dyDescent="0.3">
      <c r="A1" s="2" t="s">
        <v>294</v>
      </c>
    </row>
    <row r="2" spans="1:5" x14ac:dyDescent="0.25">
      <c r="A2" s="1" t="s">
        <v>6</v>
      </c>
    </row>
    <row r="3" spans="1:5" x14ac:dyDescent="0.25">
      <c r="A3" s="1" t="s">
        <v>285</v>
      </c>
      <c r="B3" s="1" t="s">
        <v>286</v>
      </c>
      <c r="C3" s="1" t="s">
        <v>287</v>
      </c>
      <c r="D3" s="1" t="s">
        <v>288</v>
      </c>
      <c r="E3" s="1" t="s">
        <v>289</v>
      </c>
    </row>
    <row r="4" spans="1:5" x14ac:dyDescent="0.25">
      <c r="A4">
        <v>118.99120000000001</v>
      </c>
      <c r="B4" t="s">
        <v>297</v>
      </c>
      <c r="C4" t="s">
        <v>377</v>
      </c>
      <c r="D4" t="b">
        <v>0</v>
      </c>
      <c r="E4" t="s">
        <v>383</v>
      </c>
    </row>
    <row r="5" spans="1:5" x14ac:dyDescent="0.25">
      <c r="A5">
        <v>268.9828</v>
      </c>
      <c r="B5" t="s">
        <v>295</v>
      </c>
      <c r="C5" t="s">
        <v>378</v>
      </c>
      <c r="D5" t="b">
        <v>0</v>
      </c>
      <c r="E5" t="s">
        <v>383</v>
      </c>
    </row>
  </sheetData>
  <dataValidations count="6">
    <dataValidation allowBlank="1" showInputMessage="1" showErrorMessage="1" promptTitle="Citation" prompt="Reference or other citation (DOI or website) for the evidence of the fragment identification. Enter USER if it is based on user interpretation only." sqref="E3" xr:uid="{564D3B1F-2271-4D59-847A-830BD7B69CA7}"/>
    <dataValidation type="list" allowBlank="1" showInputMessage="1" showErrorMessage="1" sqref="D4:D1048576" xr:uid="{44DFAB47-3CC6-4EEA-AC00-0B02EC15CC70}">
      <formula1>"TRUE,FALSE, UNKNOWN"</formula1>
    </dataValidation>
    <dataValidation allowBlank="1" showInputMessage="1" showErrorMessage="1" promptTitle="Radical" prompt="Does the proposed fragment structure contain a radical electron (TRUE, FALSE, UNKNOWN)" sqref="D3" xr:uid="{3BAB35D9-F7A9-4AAF-80D6-CD3C77938374}"/>
    <dataValidation allowBlank="1" showInputMessage="1" showErrorMessage="1" promptTitle="SMILES" prompt="The proposed fragment structure (in SMILES notation) for the specific fragment, leave blank if unknown." sqref="C3" xr:uid="{B8890A06-3614-4AB3-9D89-CF4A3D964C4C}"/>
    <dataValidation allowBlank="1" showInputMessage="1" showErrorMessage="1" promptTitle="Elemental Formula" prompt="The proposed elemental formula for the specific fragment, do not include charges (+/-) or radicals." sqref="B3" xr:uid="{124EFC02-2859-40B7-9E44-01AB6EB29B3A}"/>
    <dataValidation allowBlank="1" showInputMessage="1" showErrorMessage="1" promptTitle="mz" prompt="Measured m/z of the fragment to be annotated" sqref="A3" xr:uid="{BB1E4D4F-ACF2-47D4-A6C2-9510B3BCA127}"/>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A2C7C-6BC3-4524-BBC0-605764023932}">
  <dimension ref="A1:E6"/>
  <sheetViews>
    <sheetView workbookViewId="0">
      <selection activeCell="E4" sqref="E4:E6"/>
    </sheetView>
  </sheetViews>
  <sheetFormatPr defaultRowHeight="15" x14ac:dyDescent="0.25"/>
  <cols>
    <col min="1" max="5" width="27.7109375" customWidth="1"/>
  </cols>
  <sheetData>
    <row r="1" spans="1:5" ht="18.75" x14ac:dyDescent="0.3">
      <c r="A1" s="2" t="s">
        <v>296</v>
      </c>
    </row>
    <row r="2" spans="1:5" x14ac:dyDescent="0.25">
      <c r="A2" s="1" t="s">
        <v>6</v>
      </c>
    </row>
    <row r="3" spans="1:5" x14ac:dyDescent="0.25">
      <c r="A3" s="1" t="s">
        <v>285</v>
      </c>
      <c r="B3" s="1" t="s">
        <v>286</v>
      </c>
      <c r="C3" s="1" t="s">
        <v>287</v>
      </c>
      <c r="D3" s="1" t="s">
        <v>288</v>
      </c>
      <c r="E3" s="1" t="s">
        <v>289</v>
      </c>
    </row>
    <row r="4" spans="1:5" x14ac:dyDescent="0.25">
      <c r="A4">
        <v>118.99120000000001</v>
      </c>
      <c r="B4" t="s">
        <v>297</v>
      </c>
      <c r="C4" t="s">
        <v>377</v>
      </c>
      <c r="D4" t="b">
        <v>0</v>
      </c>
      <c r="E4" t="s">
        <v>383</v>
      </c>
    </row>
    <row r="5" spans="1:5" x14ac:dyDescent="0.25">
      <c r="A5">
        <v>168.98830000000001</v>
      </c>
      <c r="B5" t="s">
        <v>298</v>
      </c>
      <c r="C5" t="s">
        <v>379</v>
      </c>
      <c r="D5" t="b">
        <v>0</v>
      </c>
      <c r="E5" t="s">
        <v>383</v>
      </c>
    </row>
    <row r="6" spans="1:5" x14ac:dyDescent="0.25">
      <c r="A6">
        <v>318.9796</v>
      </c>
      <c r="B6" t="s">
        <v>299</v>
      </c>
      <c r="C6" t="s">
        <v>380</v>
      </c>
      <c r="D6" t="b">
        <v>0</v>
      </c>
      <c r="E6" t="s">
        <v>383</v>
      </c>
    </row>
  </sheetData>
  <dataValidations count="6">
    <dataValidation allowBlank="1" showInputMessage="1" showErrorMessage="1" promptTitle="mz" prompt="Measured m/z of the fragment to be annotated" sqref="A3" xr:uid="{43B4D89C-DF2C-4E57-8EE2-DAA87B3A98D3}"/>
    <dataValidation allowBlank="1" showInputMessage="1" showErrorMessage="1" promptTitle="Elemental Formula" prompt="The proposed elemental formula for the specific fragment, do not include charges (+/-) or radicals." sqref="B3" xr:uid="{05662C60-ACCC-4B4F-A0D2-BAAF11A537EF}"/>
    <dataValidation allowBlank="1" showInputMessage="1" showErrorMessage="1" promptTitle="SMILES" prompt="The proposed fragment structure (in SMILES notation) for the specific fragment, leave blank if unknown." sqref="C3" xr:uid="{5942BF8F-B7D8-41AF-946D-025F92794FC1}"/>
    <dataValidation allowBlank="1" showInputMessage="1" showErrorMessage="1" promptTitle="Radical" prompt="Does the proposed fragment structure contain a radical electron (TRUE, FALSE, UNKNOWN)" sqref="D3" xr:uid="{25A812FD-D264-42E4-ACE7-2081D967E137}"/>
    <dataValidation type="list" allowBlank="1" showInputMessage="1" showErrorMessage="1" sqref="D4:D1048576" xr:uid="{75DB0F23-B25D-45FE-9CC4-8224D3069EA9}">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EBD1578D-3AC0-40A6-8541-12A181085E9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D1BED-A443-4456-B1F6-0DFB0DEB6312}">
  <dimension ref="A1:E7"/>
  <sheetViews>
    <sheetView tabSelected="1" workbookViewId="0">
      <selection activeCell="C14" sqref="C14"/>
    </sheetView>
  </sheetViews>
  <sheetFormatPr defaultRowHeight="15" x14ac:dyDescent="0.25"/>
  <cols>
    <col min="1" max="5" width="27.7109375" customWidth="1"/>
  </cols>
  <sheetData>
    <row r="1" spans="1:5" ht="18.75" x14ac:dyDescent="0.3">
      <c r="A1" s="2" t="s">
        <v>300</v>
      </c>
    </row>
    <row r="2" spans="1:5" x14ac:dyDescent="0.25">
      <c r="A2" s="1" t="s">
        <v>6</v>
      </c>
    </row>
    <row r="3" spans="1:5" x14ac:dyDescent="0.25">
      <c r="A3" s="1" t="s">
        <v>285</v>
      </c>
      <c r="B3" s="1" t="s">
        <v>286</v>
      </c>
      <c r="C3" s="1" t="s">
        <v>287</v>
      </c>
      <c r="D3" s="1" t="s">
        <v>288</v>
      </c>
      <c r="E3" s="1" t="s">
        <v>289</v>
      </c>
    </row>
    <row r="4" spans="1:5" x14ac:dyDescent="0.25">
      <c r="A4">
        <v>118.9911</v>
      </c>
      <c r="B4" t="s">
        <v>297</v>
      </c>
      <c r="C4" t="s">
        <v>377</v>
      </c>
      <c r="D4" t="b">
        <v>0</v>
      </c>
      <c r="E4" t="s">
        <v>383</v>
      </c>
    </row>
    <row r="5" spans="1:5" x14ac:dyDescent="0.25">
      <c r="A5">
        <v>168.9881</v>
      </c>
      <c r="B5" t="s">
        <v>298</v>
      </c>
      <c r="C5" t="s">
        <v>379</v>
      </c>
      <c r="D5" t="b">
        <v>0</v>
      </c>
      <c r="E5" t="s">
        <v>383</v>
      </c>
    </row>
    <row r="6" spans="1:5" x14ac:dyDescent="0.25">
      <c r="A6">
        <v>218.9855</v>
      </c>
      <c r="B6" t="s">
        <v>293</v>
      </c>
      <c r="C6" t="s">
        <v>381</v>
      </c>
      <c r="D6" t="b">
        <v>0</v>
      </c>
      <c r="E6" t="s">
        <v>383</v>
      </c>
    </row>
    <row r="7" spans="1:5" x14ac:dyDescent="0.25">
      <c r="A7">
        <v>368.97559999999999</v>
      </c>
      <c r="B7" t="s">
        <v>301</v>
      </c>
      <c r="C7" t="s">
        <v>382</v>
      </c>
      <c r="D7" t="b">
        <v>0</v>
      </c>
      <c r="E7" t="s">
        <v>383</v>
      </c>
    </row>
  </sheetData>
  <dataValidations count="6">
    <dataValidation allowBlank="1" showInputMessage="1" showErrorMessage="1" promptTitle="mz" prompt="Measured m/z of the fragment to be annotated" sqref="A3" xr:uid="{3346A8F4-B7E8-42E8-B9E7-052956BC46D0}"/>
    <dataValidation allowBlank="1" showInputMessage="1" showErrorMessage="1" promptTitle="Elemental Formula" prompt="The proposed elemental formula for the specific fragment, do not include charges (+/-) or radicals." sqref="B3" xr:uid="{F59A7B31-5FBD-47AC-93A9-0E231C27D934}"/>
    <dataValidation allowBlank="1" showInputMessage="1" showErrorMessage="1" promptTitle="SMILES" prompt="The proposed fragment structure (in SMILES notation) for the specific fragment, leave blank if unknown." sqref="C3" xr:uid="{C5B2A339-BC8F-4AD8-9830-7128D7810088}"/>
    <dataValidation allowBlank="1" showInputMessage="1" showErrorMessage="1" promptTitle="Radical" prompt="Does the proposed fragment structure contain a radical electron (TRUE, FALSE, UNKNOWN)" sqref="D3" xr:uid="{DB54D187-D6F0-4E91-ACFE-765516CAAED6}"/>
    <dataValidation type="list" allowBlank="1" showInputMessage="1" showErrorMessage="1" sqref="D4:D1048576" xr:uid="{0ADA2F0A-098E-4677-ADA2-755D6A5CB347}">
      <formula1>"TRUE,FALSE, UNKNOWN"</formula1>
    </dataValidation>
    <dataValidation allowBlank="1" showInputMessage="1" showErrorMessage="1" promptTitle="Citation" prompt="Reference or other citation (DOI or website) for the evidence of the fragment identification. Enter USER if it is based on user interpretation only." sqref="E3" xr:uid="{54787654-92A0-4DEF-9594-D83394F15521}"/>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QC_Check</vt:lpstr>
      <vt:lpstr>Run</vt:lpstr>
      <vt:lpstr>Input_Validation</vt:lpstr>
      <vt:lpstr>Sample_Input</vt:lpstr>
      <vt:lpstr>Import</vt:lpstr>
      <vt:lpstr>Chromatography_Input</vt:lpstr>
      <vt:lpstr>Mass Spectrometry_Input</vt:lpstr>
      <vt:lpstr>QC Method_Input</vt:lpstr>
      <vt:lpstr>Peaks_Input</vt:lpstr>
      <vt:lpstr>Ann_Perfluorohexanoic acid</vt:lpstr>
      <vt:lpstr>Ann_Perfluoroheptanoic acid</vt:lpstr>
      <vt:lpstr>Ann_Perfluorooctanoic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2022-08-29T21:42:06Z</dcterms:modified>
</cp:coreProperties>
</file>