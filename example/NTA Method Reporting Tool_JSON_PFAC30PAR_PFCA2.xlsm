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4E49F1A9-3145-4A2F-BDC6-3C996597B6A2}" xr6:coauthVersionLast="47" xr6:coauthVersionMax="47" xr10:uidLastSave="{00000000-0000-0000-0000-000000000000}"/>
  <bookViews>
    <workbookView xWindow="-120" yWindow="-120" windowWidth="29040" windowHeight="15840" firstSheet="5" activeTab="18"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 name="QC_Check" sheetId="13" state="hidden" r:id="rId9"/>
    <sheet name="Ann_Perfluoropentanoic acid" sheetId="17" r:id="rId10"/>
    <sheet name="Ann_Perfluorohexanoic acid" sheetId="18" r:id="rId11"/>
    <sheet name="Ann_Perfluoroheptanoic acid" sheetId="19" r:id="rId12"/>
    <sheet name="Ann_Perfluorooctanoic acid" sheetId="20" r:id="rId13"/>
    <sheet name="Ann_Perfluorononanoic acid" sheetId="21" r:id="rId14"/>
    <sheet name="Ann_Perfluorodecanoic acid" sheetId="22" r:id="rId15"/>
    <sheet name="Ann_Perfluoroundecanoic acid" sheetId="23" r:id="rId16"/>
    <sheet name="Ann_Perfluorododecanoic acid" sheetId="24" r:id="rId17"/>
    <sheet name="Ann_Perfluorotridecanoic acid" sheetId="25" r:id="rId18"/>
    <sheet name="Ann_Perfluorotetradecanoic acid" sheetId="26" r:id="rId19"/>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08D1C2DC-B059-4D34-A274-889889A6ACFE}">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D4AE38E1-BD39-4D2D-8F73-62135FF591B5}">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99D32A74-D648-4A79-B206-F3B3D8EC93DB}">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6EB2903D-E116-49D9-ABB3-2679582ECC5F}">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83ED4DEC-E51D-4B6E-999C-0A8502121D16}">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05E22F28-CF07-4C48-B585-952D1A6175B2}">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C4604B2-53B8-4CF6-8D12-EC2484DF9CA8}">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F34BB106-B26B-4B76-B7B1-BA5A8817597E}">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3A150F5B-C207-4100-8E8E-BF512FFF68EC}">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DE46B2B-9DE4-473A-88C0-E701F16A942C}">
      <text/>
    </comment>
  </commentList>
</comments>
</file>

<file path=xl/sharedStrings.xml><?xml version="1.0" encoding="utf-8"?>
<sst xmlns="http://schemas.openxmlformats.org/spreadsheetml/2006/main" count="684" uniqueCount="322">
  <si>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</si>
  <si>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</si>
  <si>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</si>
  <si>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</si>
  <si>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</si>
  <si>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</si>
  <si>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</si>
  <si>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</si>
  <si>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</si>
  <si>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</si>
  <si>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</si>
  <si>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</si>
  <si>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</si>
  <si>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</si>
  <si>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</si>
  <si>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</si>
  <si>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</si>
  <si>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</si>
  <si>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</si>
  <si>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</si>
  <si>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</si>
  <si>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</si>
  <si>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</si>
  <si>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</si>
  <si>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</si>
  <si>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</si>
  <si>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</si>
  <si>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</si>
  <si>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</si>
  <si>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</si>
  <si>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</si>
  <si>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</si>
  <si>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</si>
  <si>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</si>
  <si>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</si>
  <si>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</si>
  <si>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</si>
  <si>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</si>
  <si>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</si>
  <si>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</si>
  <si>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</si>
  <si>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</si>
  <si>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</si>
  <si>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</si>
  <si>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</si>
  <si>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</si>
  <si>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</si>
  <si>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</si>
  <si>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</si>
  <si>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</si>
  <si>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</si>
  <si>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</si>
  <si>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</si>
  <si>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</si>
  <si>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</si>
  <si>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</si>
  <si>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</si>
  <si>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</si>
  <si>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</si>
  <si>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</si>
  <si>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</si>
  <si>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</si>
  <si>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</si>
  <si>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</si>
  <si>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</si>
  <si>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</si>
  <si>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</si>
  <si>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</si>
  <si>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</si>
  <si>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</si>
  <si>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</si>
  <si>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</si>
  <si>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</si>
  <si>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</si>
  <si>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</si>
  <si>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</si>
  <si>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</si>
  <si>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</si>
  <si>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</si>
  <si>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</si>
  <si>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</si>
  <si>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</si>
  <si>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</si>
  <si>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</si>
  <si>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</si>
  <si>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</si>
  <si>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</si>
  <si>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</si>
  <si>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</si>
  <si>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</si>
  <si>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</si>
  <si>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</si>
  <si>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</si>
  <si>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</si>
  <si>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</si>
  <si>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</si>
  <si>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</si>
  <si>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</si>
  <si>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</si>
  <si>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</si>
  <si>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</si>
  <si>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</si>
  <si>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</si>
  <si>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</si>
  <si>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</si>
  <si>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</si>
  <si>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</si>
  <si>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</si>
  <si>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</si>
  <si>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</si>
  <si>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</si>
  <si>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</si>
  <si>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</si>
  <si>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</si>
  <si>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</si>
  <si>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</si>
  <si>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</si>
  <si>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</si>
  <si>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</si>
  <si>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</si>
  <si>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</si>
  <si>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</si>
  <si>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</si>
  <si>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</si>
  <si>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</si>
  <si>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</si>
  <si>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</si>
  <si>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</si>
  <si>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</si>
  <si>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</si>
  <si>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</si>
  <si>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</si>
  <si>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</si>
  <si>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</si>
  <si>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</si>
  <si>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</si>
  <si>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</si>
  <si>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</si>
  <si>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</si>
  <si>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</si>
  <si>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</si>
  <si>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</si>
  <si>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</si>
  <si>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</si>
  <si>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</si>
  <si>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</si>
  <si>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</si>
  <si>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</si>
  <si>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</si>
  <si>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</si>
  <si>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</si>
  <si>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</si>
  <si>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</si>
  <si>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</si>
  <si>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</si>
  <si>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</si>
  <si>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</si>
  <si>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</si>
  <si>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</si>
  <si>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</si>
  <si>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</si>
  <si>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</si>
  <si>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</si>
  <si>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</si>
  <si>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</si>
  <si>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</si>
  <si>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</si>
  <si>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</si>
  <si>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</si>
  <si>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</si>
  <si>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</si>
  <si>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</si>
  <si>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</si>
  <si>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</si>
  <si>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</si>
  <si>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</si>
  <si>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</si>
  <si>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</si>
  <si>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</si>
  <si>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</si>
  <si>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</si>
  <si>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</si>
  <si>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</si>
  <si>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</si>
  <si>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</si>
  <si>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</si>
  <si>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</si>
  <si>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</si>
  <si>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</si>
  <si>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</si>
  <si>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</si>
  <si>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</si>
  <si>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</si>
  <si>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</si>
  <si>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</si>
  <si>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</si>
  <si>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</si>
  <si>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</si>
  <si>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</si>
  <si>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</si>
  <si>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</si>
  <si>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</si>
  <si>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</si>
  <si>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</si>
  <si>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</si>
  <si>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</si>
  <si>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</si>
  <si>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</si>
  <si>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</si>
  <si>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</si>
  <si>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</si>
  <si>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</si>
  <si>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</si>
  <si>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</si>
  <si>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</si>
  <si>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</si>
  <si>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</si>
  <si>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</si>
  <si>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</si>
  <si>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</si>
  <si>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</si>
  <si>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</si>
  <si>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</si>
  <si>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</si>
  <si>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</si>
  <si>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</si>
  <si>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</si>
  <si>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</si>
  <si>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</si>
  <si>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</si>
  <si>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</si>
  <si>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</si>
  <si>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</si>
  <si>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</si>
  <si>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</si>
  <si>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</si>
  <si>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</si>
  <si>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</si>
  <si>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</si>
  <si>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</si>
  <si>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</si>
  <si>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</si>
  <si>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</si>
  <si>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</si>
  <si>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</si>
  <si>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</si>
  <si>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</si>
  <si>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</si>
  <si>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</si>
  <si>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</si>
  <si>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</si>
  <si>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</si>
  <si>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</si>
  <si>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</si>
  <si>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</si>
  <si>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</si>
  <si>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</si>
  <si>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</si>
  <si>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</si>
  <si>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</si>
  <si>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</si>
  <si>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</si>
  <si>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Version 1.3 updated 2/2/2022 BJP</t>
  </si>
  <si>
    <t>confidence</t>
  </si>
  <si>
    <t>Level 4 - Unequivocal molecular formula</t>
  </si>
  <si>
    <t>The confidence level of the identification, based on the Schymanski et al (https://doi.org/10.1021/es5002105)</t>
  </si>
  <si>
    <t>Level 1b - Indistinguishable from reference standard</t>
  </si>
  <si>
    <t>Level 2a - Probable by library spectrum match</t>
  </si>
  <si>
    <t>Level 1a - Confirmed by reference standard</t>
  </si>
  <si>
    <t>Level 2b - Probable by diagnostic fragmentation evidence</t>
  </si>
  <si>
    <t>Level 2c - Probable by diagnostic homologue evidence</t>
  </si>
  <si>
    <t>Level 3a - Positional isomer candidates</t>
  </si>
  <si>
    <t>Level 3b - Fragmentation-based candidate</t>
  </si>
  <si>
    <t>Level 3c - Circumstantial candidate</t>
  </si>
  <si>
    <t>Level 5a - PFAS suspect screening exact mass match</t>
  </si>
  <si>
    <t>Level 5b - Nontarget PFAS exact mass of interest</t>
  </si>
  <si>
    <t>Reference Standard for PFAS</t>
  </si>
  <si>
    <t>bjp@nist.gov</t>
  </si>
  <si>
    <t>UltiMate 3000</t>
  </si>
  <si>
    <t>Poroshell C18</t>
  </si>
  <si>
    <t>C18</t>
  </si>
  <si>
    <t>Q-Exactive</t>
  </si>
  <si>
    <t>electrospray ionization</t>
  </si>
  <si>
    <t>Fragment m/z</t>
  </si>
  <si>
    <t>Fragment Elemental Formula</t>
  </si>
  <si>
    <t>Fragment SMILES</t>
  </si>
  <si>
    <t>Radical?</t>
  </si>
  <si>
    <t>Fragment Citation</t>
  </si>
  <si>
    <t>Perfluoropentanoic acid</t>
  </si>
  <si>
    <t>Perfluorohexanoic acid</t>
  </si>
  <si>
    <t>Perfluoroheptanoic acid</t>
  </si>
  <si>
    <t>Perfluorooctanoic acid</t>
  </si>
  <si>
    <t>Perfluorononanoic acid</t>
  </si>
  <si>
    <t>Perfluorodecanoic acid</t>
  </si>
  <si>
    <t>Perfluoroundecanoic acid</t>
  </si>
  <si>
    <t>Perfluorododecanoic acid</t>
  </si>
  <si>
    <t>Perfluorotridecanoic acid</t>
  </si>
  <si>
    <t>Perfluorotetradecanoic acid</t>
  </si>
  <si>
    <t>Peak Annotation for Perfluoropentanoic acid</t>
  </si>
  <si>
    <t>Peak Annotation for Perfluorohexanoic acid</t>
  </si>
  <si>
    <t>Peak Annotation for Perfluoroheptanoic acid</t>
  </si>
  <si>
    <t>Peak Annotation for Perfluorooctanoic acid</t>
  </si>
  <si>
    <t>Peak Annotation for Perfluorononanoic acid</t>
  </si>
  <si>
    <t>Peak Annotation for Perfluorodecanoic acid</t>
  </si>
  <si>
    <t>Peak Annotation for Perfluoroundecanoic acid</t>
  </si>
  <si>
    <t>Peak Annotation for Perfluorododecanoic acid</t>
  </si>
  <si>
    <t>Peak Annotation for Perfluorotridecanoic acid</t>
  </si>
  <si>
    <t>Peak Annotation for Perfluorotetradecanoic acid</t>
  </si>
  <si>
    <t>C4F9</t>
  </si>
  <si>
    <t>FC(F)([C-](F)F)C(F)(F)C(F)(F)F</t>
  </si>
  <si>
    <t>DOI:10.1002/rcm.3274</t>
  </si>
  <si>
    <t>C5F11</t>
  </si>
  <si>
    <t>FC(F)(C(F)(F)C(F)(F)F)C(F)(F)[C-](F)F</t>
  </si>
  <si>
    <t>C2F5</t>
  </si>
  <si>
    <t>F[C-](F)C(F)(F)F</t>
  </si>
  <si>
    <t>C3F7</t>
  </si>
  <si>
    <t>F[C-](F)C(F)(F)C(F)(F)F</t>
  </si>
  <si>
    <t>C6F13</t>
  </si>
  <si>
    <t>FC(F)(C(F)(F)C(F)(F)F)C(F)(F)C(F)(F)[C-](F)F</t>
  </si>
  <si>
    <t>C7F15</t>
  </si>
  <si>
    <t>FC(F)(C(F)(F)C(F)(F)F)C(F)(F)C(F)(F)C(F)(F)[C-](F)F</t>
  </si>
  <si>
    <t>PFAC30PAR_PFCA2.mzML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</si>
</sst>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pubs.acs.org/doi/full/10.1021/es5002105"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workbookViewId="0">
      <selection activeCell="Q16" sqref="Q16"/>
    </sheetView>
  </sheetViews>
  <sheetFormatPr defaultRowHeight="15" x14ac:dyDescent="0.25"/>
  <cols>
    <col min="2" max="2" width="30.140625" customWidth="1"/>
  </cols>
  <sheetData>
    <row r="1" spans="1:3" ht="21" x14ac:dyDescent="0.35">
      <c r="A1" s="6" t="s">
        <v>106</v>
      </c>
    </row>
    <row r="2" spans="1:3" x14ac:dyDescent="0.25">
      <c r="C2" s="12" t="s">
        <v>262</v>
      </c>
    </row>
    <row r="3" spans="1:3" x14ac:dyDescent="0.25">
      <c r="A3" s="1" t="s">
        <v>96</v>
      </c>
    </row>
    <row r="4" spans="1:3" x14ac:dyDescent="0.25">
      <c r="B4" s="1" t="s">
        <v>102</v>
      </c>
      <c r="C4" s="1" t="s">
        <v>103</v>
      </c>
    </row>
    <row r="5" spans="1:3" x14ac:dyDescent="0.25">
      <c r="B5" s="7" t="s">
        <v>97</v>
      </c>
      <c r="C5" t="b">
        <f>QC_Check!B2</f>
        <v>1</v>
      </c>
    </row>
    <row r="6" spans="1:3" x14ac:dyDescent="0.25">
      <c r="B6" s="7" t="s">
        <v>98</v>
      </c>
      <c r="C6" t="b">
        <f>QC_Check!B3</f>
        <v>1</v>
      </c>
    </row>
    <row r="7" spans="1:3" x14ac:dyDescent="0.25">
      <c r="B7" s="7" t="s">
        <v>99</v>
      </c>
      <c r="C7" t="b">
        <f>QC_Check!B4</f>
        <v>1</v>
      </c>
    </row>
    <row r="8" spans="1:3" x14ac:dyDescent="0.25">
      <c r="B8" s="7" t="s">
        <v>100</v>
      </c>
      <c r="C8" t="b">
        <f>QC_Check!B5</f>
        <v>1</v>
      </c>
    </row>
    <row r="9" spans="1:3" x14ac:dyDescent="0.25">
      <c r="B9" s="7" t="s">
        <v>101</v>
      </c>
      <c r="C9" t="b">
        <f>QC_Check!B6</f>
        <v>1</v>
      </c>
    </row>
    <row r="11" spans="1:3" x14ac:dyDescent="0.25">
      <c r="A11" s="1" t="s">
        <v>121</v>
      </c>
    </row>
    <row r="12" spans="1:3" x14ac:dyDescent="0.25">
      <c r="B12" t="s">
        <v>123</v>
      </c>
      <c r="C12" t="b">
        <f>QC_Check!B7</f>
        <v>1</v>
      </c>
    </row>
    <row r="14" spans="1:3" x14ac:dyDescent="0.25">
      <c r="A14" s="1" t="s">
        <v>120</v>
      </c>
    </row>
    <row r="17" spans="1:2" x14ac:dyDescent="0.25">
      <c r="A17" s="1" t="s">
        <v>122</v>
      </c>
    </row>
    <row r="18" spans="1:2" x14ac:dyDescent="0.25">
      <c r="B18" t="s">
        <v>104</v>
      </c>
    </row>
    <row r="20" spans="1:2" x14ac:dyDescent="0.25">
      <c r="A20" s="12"/>
    </row>
    <row r="21" spans="1:2" x14ac:dyDescent="0.25">
      <c r="A21" s="12"/>
    </row>
    <row r="23" spans="1:2" x14ac:dyDescent="0.25">
      <c r="A23" s="24" t="s">
        <v>258</v>
      </c>
    </row>
    <row r="24" spans="1:2" x14ac:dyDescent="0.25">
      <c r="B24" t="s">
        <v>259</v>
      </c>
    </row>
    <row r="26" spans="1:2" x14ac:dyDescent="0.25">
      <c r="B26" t="s">
        <v>260</v>
      </c>
    </row>
    <row r="28" spans="1:2" x14ac:dyDescent="0.25">
      <c r="B28" t="s">
        <v>261</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topLeftCell="W1" workbookViewId="0">
      <selection activeCell="AG15" sqref="AG15"/>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124</v>
      </c>
      <c r="E1" t="s">
        <v>1</v>
      </c>
      <c r="F1" t="s">
        <v>2</v>
      </c>
      <c r="G1" t="s">
        <v>8</v>
      </c>
      <c r="H1" t="s">
        <v>9</v>
      </c>
      <c r="I1" t="s">
        <v>10</v>
      </c>
      <c r="J1" t="s">
        <v>11</v>
      </c>
      <c r="K1" t="s">
        <v>12</v>
      </c>
      <c r="L1" t="s">
        <v>13</v>
      </c>
      <c r="M1" t="s">
        <v>170</v>
      </c>
      <c r="N1" t="s">
        <v>171</v>
      </c>
      <c r="O1" t="s">
        <v>138</v>
      </c>
      <c r="P1" t="s">
        <v>141</v>
      </c>
      <c r="Q1" t="s">
        <v>31</v>
      </c>
      <c r="R1" t="s">
        <v>32</v>
      </c>
      <c r="S1" t="s">
        <v>33</v>
      </c>
      <c r="T1" t="s">
        <v>36</v>
      </c>
      <c r="U1" t="s">
        <v>39</v>
      </c>
      <c r="V1" t="s">
        <v>42</v>
      </c>
      <c r="W1" t="s">
        <v>177</v>
      </c>
      <c r="X1" t="s">
        <v>179</v>
      </c>
      <c r="Y1" t="s">
        <v>180</v>
      </c>
      <c r="Z1" t="s">
        <v>58</v>
      </c>
      <c r="AA1" t="s">
        <v>105</v>
      </c>
      <c r="AB1" t="s">
        <v>47</v>
      </c>
      <c r="AC1" t="s">
        <v>48</v>
      </c>
      <c r="AD1" t="s">
        <v>49</v>
      </c>
      <c r="AE1" t="s">
        <v>50</v>
      </c>
      <c r="AF1" t="s">
        <v>184</v>
      </c>
      <c r="AG1" t="s">
        <v>263</v>
      </c>
    </row>
    <row r="2" spans="1:33" ht="18.75" customHeight="1" x14ac:dyDescent="0.25">
      <c r="A2" t="s">
        <v>196</v>
      </c>
      <c r="B2" t="s">
        <v>197</v>
      </c>
      <c r="C2" t="s">
        <v>198</v>
      </c>
      <c r="D2" t="s">
        <v>199</v>
      </c>
      <c r="E2" t="s">
        <v>200</v>
      </c>
      <c r="F2" t="s">
        <v>201</v>
      </c>
      <c r="G2" t="s">
        <v>202</v>
      </c>
      <c r="H2" t="s">
        <v>203</v>
      </c>
      <c r="I2" t="s">
        <v>204</v>
      </c>
      <c r="J2" t="s">
        <v>205</v>
      </c>
      <c r="K2" t="s">
        <v>206</v>
      </c>
      <c r="L2" t="s">
        <v>207</v>
      </c>
      <c r="M2" t="s">
        <v>208</v>
      </c>
      <c r="N2" t="s">
        <v>209</v>
      </c>
      <c r="O2" t="s">
        <v>210</v>
      </c>
      <c r="P2" t="s">
        <v>211</v>
      </c>
      <c r="Q2" t="s">
        <v>212</v>
      </c>
      <c r="R2" t="s">
        <v>213</v>
      </c>
      <c r="S2" t="s">
        <v>214</v>
      </c>
      <c r="T2" t="s">
        <v>215</v>
      </c>
      <c r="U2" t="s">
        <v>216</v>
      </c>
      <c r="V2" t="s">
        <v>217</v>
      </c>
      <c r="W2" t="s">
        <v>218</v>
      </c>
      <c r="X2" t="s">
        <v>219</v>
      </c>
      <c r="Y2" t="s">
        <v>220</v>
      </c>
      <c r="Z2" s="11" t="s">
        <v>227</v>
      </c>
      <c r="AA2" s="11" t="s">
        <v>222</v>
      </c>
      <c r="AB2" s="11" t="s">
        <v>223</v>
      </c>
      <c r="AC2" s="11" t="s">
        <v>224</v>
      </c>
      <c r="AD2" s="11" t="s">
        <v>225</v>
      </c>
      <c r="AE2" s="11" t="s">
        <v>226</v>
      </c>
      <c r="AF2" t="s">
        <v>221</v>
      </c>
      <c r="AG2" s="11" t="s">
        <v>265</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244</v>
      </c>
      <c r="S3" t="s">
        <v>34</v>
      </c>
      <c r="T3" t="s">
        <v>37</v>
      </c>
      <c r="U3" t="s">
        <v>14</v>
      </c>
      <c r="V3" t="s">
        <v>14</v>
      </c>
      <c r="W3" t="s">
        <v>178</v>
      </c>
      <c r="X3" t="s">
        <v>118</v>
      </c>
      <c r="Y3" t="s">
        <v>117</v>
      </c>
      <c r="Z3" t="s">
        <v>14</v>
      </c>
      <c r="AA3" t="b">
        <v>1</v>
      </c>
      <c r="AB3" t="b">
        <v>1</v>
      </c>
      <c r="AC3" t="b">
        <v>1</v>
      </c>
      <c r="AD3" t="b">
        <v>1</v>
      </c>
      <c r="AE3" t="b">
        <v>1</v>
      </c>
      <c r="AF3" t="s">
        <v>186</v>
      </c>
      <c r="AG3" t="s">
        <v>268</v>
      </c>
    </row>
    <row r="4" spans="1:33" x14ac:dyDescent="0.25">
      <c r="A4" t="s">
        <v>72</v>
      </c>
      <c r="B4" t="s">
        <v>77</v>
      </c>
      <c r="C4" t="s">
        <v>83</v>
      </c>
      <c r="D4" t="s">
        <v>85</v>
      </c>
      <c r="E4" t="s">
        <v>85</v>
      </c>
      <c r="F4" t="s">
        <v>93</v>
      </c>
      <c r="G4" t="s">
        <v>85</v>
      </c>
      <c r="H4" t="s">
        <v>93</v>
      </c>
      <c r="I4" t="s">
        <v>85</v>
      </c>
      <c r="J4" t="s">
        <v>93</v>
      </c>
      <c r="K4" t="s">
        <v>85</v>
      </c>
      <c r="L4" t="s">
        <v>93</v>
      </c>
      <c r="M4" t="s">
        <v>95</v>
      </c>
      <c r="N4" t="s">
        <v>148</v>
      </c>
      <c r="O4" t="s">
        <v>28</v>
      </c>
      <c r="P4" t="s">
        <v>148</v>
      </c>
      <c r="Q4" t="s">
        <v>83</v>
      </c>
      <c r="R4" t="s">
        <v>245</v>
      </c>
      <c r="S4" t="s">
        <v>107</v>
      </c>
      <c r="T4" t="s">
        <v>110</v>
      </c>
      <c r="U4" t="s">
        <v>114</v>
      </c>
      <c r="V4" t="s">
        <v>114</v>
      </c>
      <c r="W4" t="s">
        <v>45</v>
      </c>
      <c r="X4" t="s">
        <v>119</v>
      </c>
      <c r="Y4" t="s">
        <v>37</v>
      </c>
      <c r="Z4" t="s">
        <v>248</v>
      </c>
      <c r="AA4" t="b">
        <v>0</v>
      </c>
      <c r="AB4" t="b">
        <v>0</v>
      </c>
      <c r="AC4" t="b">
        <v>0</v>
      </c>
      <c r="AD4" t="b">
        <v>0</v>
      </c>
      <c r="AE4" t="b">
        <v>0</v>
      </c>
      <c r="AF4" t="s">
        <v>185</v>
      </c>
      <c r="AG4" t="s">
        <v>266</v>
      </c>
    </row>
    <row r="5" spans="1:33" x14ac:dyDescent="0.25">
      <c r="A5" t="s">
        <v>73</v>
      </c>
      <c r="B5" t="s">
        <v>76</v>
      </c>
      <c r="C5" t="s">
        <v>84</v>
      </c>
      <c r="D5" t="s">
        <v>156</v>
      </c>
      <c r="E5" t="s">
        <v>156</v>
      </c>
      <c r="F5" t="s">
        <v>86</v>
      </c>
      <c r="G5" t="s">
        <v>156</v>
      </c>
      <c r="H5" t="s">
        <v>86</v>
      </c>
      <c r="I5" t="s">
        <v>156</v>
      </c>
      <c r="J5" t="s">
        <v>86</v>
      </c>
      <c r="K5" t="s">
        <v>156</v>
      </c>
      <c r="L5" t="s">
        <v>86</v>
      </c>
      <c r="M5" t="s">
        <v>144</v>
      </c>
      <c r="N5" t="s">
        <v>152</v>
      </c>
      <c r="O5" t="s">
        <v>95</v>
      </c>
      <c r="P5" t="s">
        <v>152</v>
      </c>
      <c r="Q5" t="s">
        <v>82</v>
      </c>
      <c r="R5" t="s">
        <v>247</v>
      </c>
      <c r="T5" t="s">
        <v>111</v>
      </c>
      <c r="U5" t="s">
        <v>43</v>
      </c>
      <c r="V5" t="s">
        <v>43</v>
      </c>
      <c r="W5" t="s">
        <v>115</v>
      </c>
      <c r="Z5" t="s">
        <v>249</v>
      </c>
      <c r="AF5" t="s">
        <v>188</v>
      </c>
      <c r="AG5" t="s">
        <v>267</v>
      </c>
    </row>
    <row r="6" spans="1:33" x14ac:dyDescent="0.25">
      <c r="A6" t="s">
        <v>70</v>
      </c>
      <c r="B6" t="s">
        <v>79</v>
      </c>
      <c r="C6" t="s">
        <v>82</v>
      </c>
      <c r="D6" t="s">
        <v>157</v>
      </c>
      <c r="E6" t="s">
        <v>157</v>
      </c>
      <c r="F6" t="s">
        <v>88</v>
      </c>
      <c r="G6" t="s">
        <v>157</v>
      </c>
      <c r="H6" t="s">
        <v>88</v>
      </c>
      <c r="I6" t="s">
        <v>157</v>
      </c>
      <c r="J6" t="s">
        <v>88</v>
      </c>
      <c r="K6" t="s">
        <v>157</v>
      </c>
      <c r="L6" t="s">
        <v>88</v>
      </c>
      <c r="M6" t="s">
        <v>145</v>
      </c>
      <c r="N6" t="s">
        <v>154</v>
      </c>
      <c r="O6" t="s">
        <v>144</v>
      </c>
      <c r="P6" t="s">
        <v>154</v>
      </c>
      <c r="Q6" t="s">
        <v>81</v>
      </c>
      <c r="R6" t="s">
        <v>246</v>
      </c>
      <c r="T6" t="s">
        <v>108</v>
      </c>
      <c r="U6" t="s">
        <v>40</v>
      </c>
      <c r="V6" t="s">
        <v>40</v>
      </c>
      <c r="W6" t="s">
        <v>253</v>
      </c>
      <c r="Z6" t="s">
        <v>116</v>
      </c>
      <c r="AF6" t="s">
        <v>187</v>
      </c>
      <c r="AG6" t="s">
        <v>269</v>
      </c>
    </row>
    <row r="7" spans="1:33" x14ac:dyDescent="0.25">
      <c r="A7" t="s">
        <v>161</v>
      </c>
      <c r="C7" t="s">
        <v>81</v>
      </c>
      <c r="D7" t="s">
        <v>169</v>
      </c>
      <c r="E7" t="s">
        <v>169</v>
      </c>
      <c r="F7" t="s">
        <v>90</v>
      </c>
      <c r="G7" t="s">
        <v>169</v>
      </c>
      <c r="H7" t="s">
        <v>90</v>
      </c>
      <c r="I7" t="s">
        <v>169</v>
      </c>
      <c r="J7" t="s">
        <v>90</v>
      </c>
      <c r="K7" t="s">
        <v>169</v>
      </c>
      <c r="L7" t="s">
        <v>90</v>
      </c>
      <c r="M7" t="s">
        <v>81</v>
      </c>
      <c r="N7" t="s">
        <v>149</v>
      </c>
      <c r="O7" t="s">
        <v>145</v>
      </c>
      <c r="P7" t="s">
        <v>149</v>
      </c>
      <c r="Q7" t="s">
        <v>7</v>
      </c>
      <c r="R7" t="s">
        <v>243</v>
      </c>
      <c r="T7" t="s">
        <v>109</v>
      </c>
      <c r="U7" t="s">
        <v>113</v>
      </c>
      <c r="V7" t="s">
        <v>113</v>
      </c>
      <c r="AF7" t="s">
        <v>189</v>
      </c>
      <c r="AG7" t="s">
        <v>270</v>
      </c>
    </row>
    <row r="8" spans="1:33" x14ac:dyDescent="0.25">
      <c r="A8" t="s">
        <v>71</v>
      </c>
      <c r="C8" t="s">
        <v>7</v>
      </c>
      <c r="D8" t="s">
        <v>89</v>
      </c>
      <c r="E8" t="s">
        <v>89</v>
      </c>
      <c r="F8" t="s">
        <v>92</v>
      </c>
      <c r="G8" t="s">
        <v>89</v>
      </c>
      <c r="H8" t="s">
        <v>92</v>
      </c>
      <c r="I8" t="s">
        <v>89</v>
      </c>
      <c r="J8" t="s">
        <v>92</v>
      </c>
      <c r="K8" t="s">
        <v>89</v>
      </c>
      <c r="L8" t="s">
        <v>92</v>
      </c>
      <c r="M8" t="s">
        <v>7</v>
      </c>
      <c r="N8" t="s">
        <v>150</v>
      </c>
      <c r="O8" t="s">
        <v>81</v>
      </c>
      <c r="P8" t="s">
        <v>150</v>
      </c>
      <c r="Q8" t="s">
        <v>80</v>
      </c>
      <c r="U8" t="s">
        <v>112</v>
      </c>
      <c r="V8" t="s">
        <v>112</v>
      </c>
      <c r="AF8" t="s">
        <v>190</v>
      </c>
      <c r="AG8" t="s">
        <v>271</v>
      </c>
    </row>
    <row r="9" spans="1:33" x14ac:dyDescent="0.25">
      <c r="A9" t="s">
        <v>160</v>
      </c>
      <c r="C9" t="s">
        <v>80</v>
      </c>
      <c r="D9" t="s">
        <v>87</v>
      </c>
      <c r="E9" t="s">
        <v>87</v>
      </c>
      <c r="F9" t="s">
        <v>94</v>
      </c>
      <c r="G9" t="s">
        <v>87</v>
      </c>
      <c r="H9" t="s">
        <v>94</v>
      </c>
      <c r="I9" t="s">
        <v>87</v>
      </c>
      <c r="J9" t="s">
        <v>94</v>
      </c>
      <c r="K9" t="s">
        <v>87</v>
      </c>
      <c r="L9" t="s">
        <v>94</v>
      </c>
      <c r="M9" t="s">
        <v>80</v>
      </c>
      <c r="N9" t="s">
        <v>153</v>
      </c>
      <c r="O9" t="s">
        <v>7</v>
      </c>
      <c r="P9" t="s">
        <v>153</v>
      </c>
      <c r="U9" t="s">
        <v>183</v>
      </c>
      <c r="V9" t="s">
        <v>183</v>
      </c>
      <c r="AF9" t="s">
        <v>191</v>
      </c>
      <c r="AG9" t="s">
        <v>272</v>
      </c>
    </row>
    <row r="10" spans="1:33" x14ac:dyDescent="0.25">
      <c r="A10" t="s">
        <v>158</v>
      </c>
      <c r="D10" t="s">
        <v>155</v>
      </c>
      <c r="E10" t="s">
        <v>155</v>
      </c>
      <c r="G10" t="s">
        <v>155</v>
      </c>
      <c r="I10" t="s">
        <v>155</v>
      </c>
      <c r="K10" t="s">
        <v>155</v>
      </c>
      <c r="M10" t="s">
        <v>146</v>
      </c>
      <c r="N10" t="s">
        <v>147</v>
      </c>
      <c r="O10" t="s">
        <v>80</v>
      </c>
      <c r="P10" t="s">
        <v>147</v>
      </c>
      <c r="AF10" t="s">
        <v>194</v>
      </c>
      <c r="AG10" t="s">
        <v>273</v>
      </c>
    </row>
    <row r="11" spans="1:33" x14ac:dyDescent="0.25">
      <c r="A11" t="s">
        <v>74</v>
      </c>
      <c r="D11" t="s">
        <v>91</v>
      </c>
      <c r="E11" t="s">
        <v>91</v>
      </c>
      <c r="G11" t="s">
        <v>91</v>
      </c>
      <c r="I11" t="s">
        <v>91</v>
      </c>
      <c r="K11" t="s">
        <v>91</v>
      </c>
      <c r="N11" t="s">
        <v>151</v>
      </c>
      <c r="O11" t="s">
        <v>146</v>
      </c>
      <c r="P11" t="s">
        <v>151</v>
      </c>
      <c r="AF11" t="s">
        <v>192</v>
      </c>
      <c r="AG11" t="s">
        <v>264</v>
      </c>
    </row>
    <row r="12" spans="1:33" x14ac:dyDescent="0.25">
      <c r="A12" t="s">
        <v>69</v>
      </c>
      <c r="AF12" t="s">
        <v>193</v>
      </c>
      <c r="AG12" t="s">
        <v>274</v>
      </c>
    </row>
    <row r="13" spans="1:33" x14ac:dyDescent="0.25">
      <c r="A13" t="s">
        <v>159</v>
      </c>
      <c r="AG13" t="s">
        <v>275</v>
      </c>
    </row>
    <row r="14" spans="1:33" x14ac:dyDescent="0.25">
      <c r="A14" t="s">
        <v>195</v>
      </c>
      <c r="AG14" t="s">
        <v>79</v>
      </c>
    </row>
    <row r="15" spans="1:33" x14ac:dyDescent="0.25">
      <c r="A15" t="s">
        <v>75</v>
      </c>
    </row>
    <row r="16" spans="1:33" x14ac:dyDescent="0.25">
      <c r="A16" t="s">
        <v>68</v>
      </c>
    </row>
    <row r="17" spans="1:1" x14ac:dyDescent="0.25">
      <c r="A17" t="s">
        <v>162</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B4" sqref="B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228</v>
      </c>
    </row>
    <row r="4" spans="1:6" x14ac:dyDescent="0.25">
      <c r="A4" t="s">
        <v>54</v>
      </c>
      <c r="B4" s="13" t="s">
        <v>321</v>
      </c>
      <c r="D4" t="s">
        <v>62</v>
      </c>
      <c r="F4" s="16" t="s">
        <v>255</v>
      </c>
    </row>
    <row r="5" spans="1:6" x14ac:dyDescent="0.25">
      <c r="A5" t="s">
        <v>55</v>
      </c>
      <c r="B5" s="13" t="s">
        <v>276</v>
      </c>
      <c r="D5" t="s">
        <v>56</v>
      </c>
    </row>
    <row r="6" spans="1:6" x14ac:dyDescent="0.25">
      <c r="A6" t="s">
        <v>57</v>
      </c>
      <c r="B6" s="13" t="s">
        <v>67</v>
      </c>
      <c r="D6" t="s">
        <v>231</v>
      </c>
    </row>
    <row r="7" spans="1:6" x14ac:dyDescent="0.25">
      <c r="A7" t="s">
        <v>250</v>
      </c>
      <c r="B7" s="15" t="s">
        <v>277</v>
      </c>
      <c r="D7" t="s">
        <v>232</v>
      </c>
    </row>
    <row r="8" spans="1:6" x14ac:dyDescent="0.25">
      <c r="A8" t="s">
        <v>251</v>
      </c>
      <c r="B8" s="18"/>
      <c r="D8" t="s">
        <v>233</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0A1067E5-E572-4048-98CA-B3F0F8D21527}">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F19" sqref="F19"/>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228</v>
      </c>
    </row>
    <row r="4" spans="1:6" x14ac:dyDescent="0.25">
      <c r="A4" t="s">
        <v>5</v>
      </c>
      <c r="B4" s="13" t="s">
        <v>76</v>
      </c>
      <c r="D4" t="s">
        <v>136</v>
      </c>
      <c r="F4" s="16" t="s">
        <v>255</v>
      </c>
    </row>
    <row r="5" spans="1:6" x14ac:dyDescent="0.25">
      <c r="A5" t="s">
        <v>27</v>
      </c>
      <c r="B5" s="13" t="s">
        <v>7</v>
      </c>
      <c r="D5" t="s">
        <v>29</v>
      </c>
      <c r="F5" s="20" t="s">
        <v>256</v>
      </c>
    </row>
    <row r="6" spans="1:6" x14ac:dyDescent="0.25">
      <c r="A6" t="s">
        <v>134</v>
      </c>
      <c r="B6" s="13" t="s">
        <v>278</v>
      </c>
      <c r="D6" t="s">
        <v>135</v>
      </c>
    </row>
    <row r="7" spans="1:6" x14ac:dyDescent="0.25">
      <c r="A7" t="s">
        <v>252</v>
      </c>
      <c r="B7" s="13" t="s">
        <v>91</v>
      </c>
      <c r="D7" t="s">
        <v>125</v>
      </c>
    </row>
    <row r="8" spans="1:6" x14ac:dyDescent="0.25">
      <c r="A8" t="s">
        <v>1</v>
      </c>
      <c r="B8" s="13" t="s">
        <v>91</v>
      </c>
      <c r="D8" t="s">
        <v>15</v>
      </c>
    </row>
    <row r="9" spans="1:6" x14ac:dyDescent="0.25">
      <c r="A9" t="s">
        <v>2</v>
      </c>
      <c r="B9" s="13" t="s">
        <v>86</v>
      </c>
      <c r="D9" t="s">
        <v>16</v>
      </c>
    </row>
    <row r="10" spans="1:6" x14ac:dyDescent="0.25">
      <c r="A10" t="s">
        <v>8</v>
      </c>
      <c r="B10" s="13" t="s">
        <v>87</v>
      </c>
      <c r="D10" t="s">
        <v>137</v>
      </c>
    </row>
    <row r="11" spans="1:6" x14ac:dyDescent="0.25">
      <c r="A11" t="s">
        <v>9</v>
      </c>
      <c r="B11" s="13" t="s">
        <v>86</v>
      </c>
      <c r="D11" t="s">
        <v>17</v>
      </c>
    </row>
    <row r="12" spans="1:6" x14ac:dyDescent="0.25">
      <c r="A12" t="s">
        <v>10</v>
      </c>
      <c r="B12" s="13" t="s">
        <v>14</v>
      </c>
      <c r="D12" t="s">
        <v>18</v>
      </c>
    </row>
    <row r="13" spans="1:6" x14ac:dyDescent="0.25">
      <c r="A13" t="s">
        <v>11</v>
      </c>
      <c r="B13" s="13" t="s">
        <v>14</v>
      </c>
      <c r="D13" t="s">
        <v>19</v>
      </c>
    </row>
    <row r="14" spans="1:6" x14ac:dyDescent="0.25">
      <c r="A14" t="s">
        <v>12</v>
      </c>
      <c r="B14" s="13" t="s">
        <v>14</v>
      </c>
      <c r="D14" t="s">
        <v>20</v>
      </c>
    </row>
    <row r="15" spans="1:6" x14ac:dyDescent="0.25">
      <c r="A15" t="s">
        <v>13</v>
      </c>
      <c r="B15" s="13" t="s">
        <v>14</v>
      </c>
      <c r="D15" t="s">
        <v>21</v>
      </c>
    </row>
    <row r="16" spans="1:6" x14ac:dyDescent="0.25">
      <c r="A16" t="s">
        <v>138</v>
      </c>
      <c r="B16" s="14" t="s">
        <v>14</v>
      </c>
      <c r="D16" t="s">
        <v>139</v>
      </c>
    </row>
    <row r="17" spans="1:4" x14ac:dyDescent="0.25">
      <c r="A17" t="s">
        <v>175</v>
      </c>
      <c r="B17" s="21"/>
      <c r="D17" t="s">
        <v>143</v>
      </c>
    </row>
    <row r="18" spans="1:4" x14ac:dyDescent="0.25">
      <c r="A18" t="s">
        <v>141</v>
      </c>
      <c r="B18" s="14" t="s">
        <v>14</v>
      </c>
      <c r="D18" t="s">
        <v>142</v>
      </c>
    </row>
    <row r="19" spans="1:4" x14ac:dyDescent="0.25">
      <c r="A19" t="s">
        <v>163</v>
      </c>
      <c r="B19" s="21"/>
      <c r="D19" t="s">
        <v>166</v>
      </c>
    </row>
    <row r="20" spans="1:4" x14ac:dyDescent="0.25">
      <c r="A20" t="s">
        <v>164</v>
      </c>
      <c r="B20" s="21"/>
      <c r="D20" t="s">
        <v>167</v>
      </c>
    </row>
    <row r="21" spans="1:4" x14ac:dyDescent="0.25">
      <c r="A21" t="s">
        <v>165</v>
      </c>
      <c r="B21" s="21"/>
      <c r="D21" t="s">
        <v>168</v>
      </c>
    </row>
    <row r="22" spans="1:4" x14ac:dyDescent="0.25">
      <c r="A22" t="s">
        <v>170</v>
      </c>
      <c r="B22" s="13" t="s">
        <v>28</v>
      </c>
      <c r="D22" t="s">
        <v>140</v>
      </c>
    </row>
    <row r="23" spans="1:4" x14ac:dyDescent="0.25">
      <c r="A23" t="s">
        <v>176</v>
      </c>
      <c r="B23" s="13" t="s">
        <v>279</v>
      </c>
      <c r="D23" t="s">
        <v>22</v>
      </c>
    </row>
    <row r="24" spans="1:4" x14ac:dyDescent="0.25">
      <c r="A24" t="s">
        <v>171</v>
      </c>
      <c r="B24" s="13" t="s">
        <v>280</v>
      </c>
      <c r="D24" t="s">
        <v>23</v>
      </c>
    </row>
    <row r="25" spans="1:4" x14ac:dyDescent="0.25">
      <c r="A25" t="s">
        <v>172</v>
      </c>
      <c r="B25" s="13">
        <v>2.1</v>
      </c>
      <c r="D25" t="s">
        <v>24</v>
      </c>
    </row>
    <row r="26" spans="1:4" x14ac:dyDescent="0.25">
      <c r="A26" t="s">
        <v>173</v>
      </c>
      <c r="B26" s="13">
        <v>50</v>
      </c>
      <c r="D26" t="s">
        <v>25</v>
      </c>
    </row>
    <row r="27" spans="1:4" x14ac:dyDescent="0.25">
      <c r="A27" t="s">
        <v>174</v>
      </c>
      <c r="B27" s="13">
        <v>2.7</v>
      </c>
      <c r="D27" t="s">
        <v>26</v>
      </c>
    </row>
    <row r="28" spans="1:4" x14ac:dyDescent="0.25">
      <c r="A28" t="s">
        <v>240</v>
      </c>
      <c r="B28" s="17"/>
      <c r="D28" t="s">
        <v>233</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59A7ECE1-9EA0-4678-A759-DBFA8B7D2F1C}">
          <x14:formula1>
            <xm:f>Input_Validation!$B$3:$B$6</xm:f>
          </x14:formula1>
          <xm:sqref>B4</xm:sqref>
        </x14:dataValidation>
        <x14:dataValidation type="list" allowBlank="1" showInputMessage="1" showErrorMessage="1" promptTitle="Chromatograph Vendor" prompt="Vendor/Manufacturer of the chromatograph used" xr:uid="{C069FBA8-6AA3-4833-9E21-0BDE581D73A7}">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CF2CEAF1-5FF1-4500-909A-C37EF9757933}">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7817275C-E898-43DC-8AEE-A619C30585CF}">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AC40B20E-7AC2-40EA-B083-1863686DFBE6}">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4FC1305C-DC2F-4146-B796-6957C7FF6C64}">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B780A7C3-A4F1-4A19-BAC7-D4D0F99513B9}">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8C14763A-DAA9-4FEB-B3AA-E897F3F03B50}">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5C49F2AE-6B6A-4BA5-88DB-FBFC8062C3CE}">
          <x14:formula1>
            <xm:f>Input_Validation!$K$3:$K$11</xm:f>
          </x14:formula1>
          <xm:sqref>B14</xm:sqref>
        </x14:dataValidation>
        <x14:dataValidation type="list" allowBlank="1" showInputMessage="1" showErrorMessage="1" promptTitle="Guard Column Vendor" prompt="Vendor/Manufacturer of the guard column, use &quot;none&quot; if not used." xr:uid="{3100629E-D2DC-49F3-988C-10C3082FDC37}">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041A8F60-0869-4E65-BE9F-F78A07BFCE8C}">
          <x14:formula1>
            <xm:f>Input_Validation!$P$3:$P$11</xm:f>
          </x14:formula1>
          <xm:sqref>B18</xm:sqref>
        </x14:dataValidation>
        <x14:dataValidation type="list" allowBlank="1" showInputMessage="1" showErrorMessage="1" promptTitle="Analytical Column Vendor" prompt="Vendor/Manufacturer of the analytical column" xr:uid="{3DB2EA32-17C6-46DF-9C6D-5FE4B2EB3338}">
          <x14:formula1>
            <xm:f>Input_Validation!$M$3:$M$10</xm:f>
          </x14:formula1>
          <xm:sqref>B22</xm:sqref>
        </x14:dataValidation>
        <x14:dataValidation type="list" allowBlank="1" showInputMessage="1" showErrorMessage="1" promptTitle="Analytical Column Phase" prompt="Stationary phase chemistry/ligand of the chromatography column" xr:uid="{1345A731-6120-4852-AF30-776F1094DA71}">
          <x14:formula1>
            <xm:f>Input_Validation!$N$3:$N$11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B14" sqref="B14"/>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228</v>
      </c>
    </row>
    <row r="4" spans="1:6" x14ac:dyDescent="0.25">
      <c r="A4" t="s">
        <v>31</v>
      </c>
      <c r="B4" s="13" t="s">
        <v>7</v>
      </c>
      <c r="D4" t="s">
        <v>133</v>
      </c>
      <c r="F4" s="16" t="s">
        <v>255</v>
      </c>
    </row>
    <row r="5" spans="1:6" x14ac:dyDescent="0.25">
      <c r="A5" t="s">
        <v>131</v>
      </c>
      <c r="B5" s="13" t="s">
        <v>281</v>
      </c>
      <c r="D5" t="s">
        <v>132</v>
      </c>
      <c r="F5" s="20" t="s">
        <v>256</v>
      </c>
    </row>
    <row r="6" spans="1:6" x14ac:dyDescent="0.25">
      <c r="A6" t="s">
        <v>32</v>
      </c>
      <c r="B6" s="13" t="s">
        <v>282</v>
      </c>
      <c r="D6" t="s">
        <v>234</v>
      </c>
    </row>
    <row r="7" spans="1:6" x14ac:dyDescent="0.25">
      <c r="A7" t="s">
        <v>33</v>
      </c>
      <c r="B7" s="13" t="s">
        <v>34</v>
      </c>
      <c r="D7" t="s">
        <v>35</v>
      </c>
    </row>
    <row r="8" spans="1:6" x14ac:dyDescent="0.25">
      <c r="A8" t="s">
        <v>229</v>
      </c>
      <c r="B8" s="13">
        <v>2500</v>
      </c>
      <c r="D8" t="s">
        <v>235</v>
      </c>
    </row>
    <row r="9" spans="1:6" x14ac:dyDescent="0.25">
      <c r="A9" t="s">
        <v>36</v>
      </c>
      <c r="B9" s="13" t="s">
        <v>37</v>
      </c>
      <c r="D9" t="s">
        <v>38</v>
      </c>
    </row>
    <row r="10" spans="1:6" x14ac:dyDescent="0.25">
      <c r="A10" t="s">
        <v>39</v>
      </c>
      <c r="B10" s="13" t="s">
        <v>40</v>
      </c>
      <c r="D10" t="s">
        <v>41</v>
      </c>
    </row>
    <row r="11" spans="1:6" x14ac:dyDescent="0.25">
      <c r="A11" t="s">
        <v>42</v>
      </c>
      <c r="B11" s="13" t="s">
        <v>43</v>
      </c>
      <c r="D11" t="s">
        <v>44</v>
      </c>
    </row>
    <row r="12" spans="1:6" x14ac:dyDescent="0.25">
      <c r="A12" t="s">
        <v>177</v>
      </c>
      <c r="B12" s="13" t="s">
        <v>45</v>
      </c>
      <c r="D12" t="s">
        <v>46</v>
      </c>
    </row>
    <row r="13" spans="1:6" x14ac:dyDescent="0.25">
      <c r="A13" t="s">
        <v>230</v>
      </c>
      <c r="B13" s="13">
        <v>30</v>
      </c>
      <c r="D13" t="s">
        <v>236</v>
      </c>
    </row>
    <row r="14" spans="1:6" x14ac:dyDescent="0.25">
      <c r="A14" t="s">
        <v>179</v>
      </c>
      <c r="B14" s="13" t="s">
        <v>119</v>
      </c>
      <c r="D14" t="s">
        <v>237</v>
      </c>
    </row>
    <row r="15" spans="1:6" x14ac:dyDescent="0.25">
      <c r="A15" t="s">
        <v>180</v>
      </c>
      <c r="B15" s="13" t="s">
        <v>117</v>
      </c>
      <c r="D15" t="s">
        <v>238</v>
      </c>
    </row>
    <row r="16" spans="1:6" x14ac:dyDescent="0.25">
      <c r="A16" t="s">
        <v>58</v>
      </c>
      <c r="B16" s="13" t="s">
        <v>248</v>
      </c>
      <c r="D16" t="s">
        <v>59</v>
      </c>
    </row>
    <row r="17" spans="1:4" x14ac:dyDescent="0.25">
      <c r="A17" t="s">
        <v>60</v>
      </c>
      <c r="B17" s="22">
        <v>0.7</v>
      </c>
      <c r="D17" t="s">
        <v>61</v>
      </c>
    </row>
    <row r="18" spans="1:4" x14ac:dyDescent="0.25">
      <c r="A18" t="s">
        <v>181</v>
      </c>
      <c r="B18" s="13">
        <v>5</v>
      </c>
      <c r="D18" t="s">
        <v>126</v>
      </c>
    </row>
    <row r="19" spans="1:4" x14ac:dyDescent="0.25">
      <c r="A19" t="s">
        <v>127</v>
      </c>
      <c r="B19" s="13">
        <v>70000</v>
      </c>
      <c r="D19" t="s">
        <v>129</v>
      </c>
    </row>
    <row r="20" spans="1:4" x14ac:dyDescent="0.25">
      <c r="A20" t="s">
        <v>128</v>
      </c>
      <c r="B20" s="22">
        <v>17500</v>
      </c>
      <c r="D20" t="s">
        <v>130</v>
      </c>
    </row>
    <row r="21" spans="1:4" x14ac:dyDescent="0.25">
      <c r="A21" t="s">
        <v>239</v>
      </c>
      <c r="B21" s="19"/>
      <c r="D21" t="s">
        <v>233</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C68363DD-28E8-41C3-ADD9-767396EEA186}">
          <x14:formula1>
            <xm:f>Input_Validation!$Q$3:$Q$8</xm:f>
          </x14:formula1>
          <xm:sqref>B4</xm:sqref>
        </x14:dataValidation>
        <x14:dataValidation type="list" allowBlank="1" showInputMessage="1" showErrorMessage="1" promptTitle="Ionization Mode" prompt="Mode of ionization of the mass spectrometer." xr:uid="{CECB3801-E2A4-49C1-A5CE-445D3B4E7BEB}">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EA827D9B-1C5F-4592-B70E-2456098240FE}">
          <x14:formula1>
            <xm:f>Input_Validation!$S$3:$S$4</xm:f>
          </x14:formula1>
          <xm:sqref>B7</xm:sqref>
        </x14:dataValidation>
        <x14:dataValidation type="list" allowBlank="1" showInputMessage="1" showErrorMessage="1" promptTitle="Ionization Voltage/Current Units" prompt="Units for the above-noted ionization voltage or current." xr:uid="{24881B56-794C-4E9B-B4A1-CC62F9B36832}">
          <x14:formula1>
            <xm:f>Input_Validation!$T$3:$T$7</xm:f>
          </x14:formula1>
          <xm:sqref>B9</xm:sqref>
        </x14:dataValidation>
        <x14:dataValidation type="list" allowBlank="1" showInputMessage="1" showErrorMessage="1" promptTitle="First Mass Analyzer" prompt="First mass analyzer in the mass spectrometer." xr:uid="{BE811426-7FC5-4C83-9E8A-D9AC5B078C95}">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A3229253-8EEB-400D-85FA-62B63C53CE90}">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61B96C35-882E-4F27-9B91-B3B8F22BFA14}">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E3E19A7A-2A06-43C9-A086-C393835314D6}">
          <x14:formula1>
            <xm:f>Input_Validation!$X$3:$X$4</xm:f>
          </x14:formula1>
          <xm:sqref>B14</xm:sqref>
        </x14:dataValidation>
        <x14:dataValidation type="list" allowBlank="1" showInputMessage="1" showErrorMessage="1" promptTitle="Fragmentation Energy Units" prompt="Units of the fragmentation/collision energy value above." xr:uid="{F4A7602E-8D3F-4868-9559-8F020AA39665}">
          <x14:formula1>
            <xm:f>Input_Validation!$Y$3:$Y$4</xm:f>
          </x14:formula1>
          <xm:sqref>B15</xm:sqref>
        </x14:dataValidation>
        <x14:dataValidation type="list" allowBlank="1" showInputMessage="1" showErrorMessage="1" promptTitle="MS2 Experiment" prompt="Type of fragmentation/MS2 experiment." xr:uid="{5794CE54-7054-4796-80C8-A612E6676E3C}">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C17" sqref="C17"/>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242</v>
      </c>
      <c r="D3" s="4"/>
      <c r="E3" s="1" t="s">
        <v>228</v>
      </c>
    </row>
    <row r="4" spans="1:7" x14ac:dyDescent="0.25">
      <c r="A4" t="s">
        <v>241</v>
      </c>
      <c r="B4" s="13" t="b">
        <v>1</v>
      </c>
      <c r="C4" s="23"/>
      <c r="E4" t="s">
        <v>51</v>
      </c>
      <c r="G4" s="16" t="s">
        <v>255</v>
      </c>
    </row>
    <row r="5" spans="1:7" x14ac:dyDescent="0.25">
      <c r="A5" t="s">
        <v>47</v>
      </c>
      <c r="B5" s="13" t="b">
        <v>1</v>
      </c>
      <c r="C5" s="23"/>
      <c r="E5" t="s">
        <v>51</v>
      </c>
    </row>
    <row r="6" spans="1:7" x14ac:dyDescent="0.25">
      <c r="A6" t="s">
        <v>48</v>
      </c>
      <c r="B6" s="13" t="b">
        <v>1</v>
      </c>
      <c r="C6" s="23"/>
      <c r="E6" t="s">
        <v>51</v>
      </c>
    </row>
    <row r="7" spans="1:7" x14ac:dyDescent="0.25">
      <c r="A7" t="s">
        <v>49</v>
      </c>
      <c r="B7" s="13" t="b">
        <v>0</v>
      </c>
      <c r="C7" s="23"/>
      <c r="E7" t="s">
        <v>51</v>
      </c>
    </row>
    <row r="8" spans="1:7" x14ac:dyDescent="0.25">
      <c r="A8" t="s">
        <v>50</v>
      </c>
      <c r="B8" s="13" t="b">
        <v>0</v>
      </c>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112165CD-F557-4B19-BAF5-1D54F5B6C327}">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E8FEC560-8EF9-429F-85D5-6DEBD6537F56}">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75F01FA1-3822-46DB-B050-1A29CE7F76A7}">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AA881DC5-7D43-47AF-9B48-1D863B6A2FAB}">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2A9B3984-FFD0-45D8-A592-1916AD0A1C9C}">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F18" sqref="F18"/>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257</v>
      </c>
      <c r="E1" s="26"/>
      <c r="F1" s="27"/>
    </row>
    <row r="2" spans="1:8" x14ac:dyDescent="0.25">
      <c r="A2" s="1" t="s">
        <v>6</v>
      </c>
      <c r="B2" s="9"/>
      <c r="C2" s="9"/>
    </row>
    <row r="3" spans="1:8" x14ac:dyDescent="0.25">
      <c r="A3" s="5" t="s">
        <v>62</v>
      </c>
      <c r="B3" s="8" t="s">
        <v>182</v>
      </c>
      <c r="C3" s="5" t="s">
        <v>184</v>
      </c>
      <c r="D3" s="5" t="s">
        <v>63</v>
      </c>
      <c r="E3" s="5" t="s">
        <v>64</v>
      </c>
      <c r="F3" s="5" t="s">
        <v>65</v>
      </c>
      <c r="G3" s="5" t="s">
        <v>66</v>
      </c>
      <c r="H3" s="8" t="s">
        <v>263</v>
      </c>
    </row>
    <row r="4" spans="1:8" x14ac:dyDescent="0.25">
      <c r="A4" s="10" t="s">
        <v>288</v>
      </c>
      <c r="B4" s="10">
        <v>2646</v>
      </c>
      <c r="C4" s="10" t="s">
        <v>194</v>
      </c>
      <c r="D4" s="10">
        <v>262.976</v>
      </c>
      <c r="E4" s="10">
        <v>8.6</v>
      </c>
      <c r="F4" s="10">
        <v>8.4</v>
      </c>
      <c r="G4" s="10">
        <v>9.1</v>
      </c>
      <c r="H4" s="10" t="s">
        <v>268</v>
      </c>
    </row>
    <row r="5" spans="1:8" x14ac:dyDescent="0.25">
      <c r="A5" s="10" t="s">
        <v>289</v>
      </c>
      <c r="B5" s="10">
        <v>2643</v>
      </c>
      <c r="C5" s="10" t="s">
        <v>194</v>
      </c>
      <c r="D5" s="10">
        <v>312.97300000000001</v>
      </c>
      <c r="E5" s="10">
        <v>10.8</v>
      </c>
      <c r="F5" s="10">
        <v>10.5</v>
      </c>
      <c r="G5" s="10">
        <v>11.1</v>
      </c>
      <c r="H5" s="10" t="s">
        <v>268</v>
      </c>
    </row>
    <row r="6" spans="1:8" x14ac:dyDescent="0.25">
      <c r="A6" s="10" t="s">
        <v>290</v>
      </c>
      <c r="B6" s="10">
        <v>2640</v>
      </c>
      <c r="C6" s="10" t="s">
        <v>194</v>
      </c>
      <c r="D6" s="10">
        <v>362.9699</v>
      </c>
      <c r="E6" s="10">
        <v>12.09</v>
      </c>
      <c r="F6" s="10">
        <v>11.9</v>
      </c>
      <c r="G6" s="10">
        <v>12.4</v>
      </c>
      <c r="H6" s="10" t="s">
        <v>268</v>
      </c>
    </row>
    <row r="7" spans="1:8" x14ac:dyDescent="0.25">
      <c r="A7" s="10" t="s">
        <v>291</v>
      </c>
      <c r="B7" s="10">
        <v>2637</v>
      </c>
      <c r="C7" s="10" t="s">
        <v>194</v>
      </c>
      <c r="D7" s="10">
        <v>412.9665</v>
      </c>
      <c r="E7" s="10">
        <v>13.05</v>
      </c>
      <c r="F7" s="10">
        <v>12.8</v>
      </c>
      <c r="G7" s="10">
        <v>13.4</v>
      </c>
      <c r="H7" s="10" t="s">
        <v>268</v>
      </c>
    </row>
    <row r="8" spans="1:8" x14ac:dyDescent="0.25">
      <c r="A8" s="10" t="s">
        <v>292</v>
      </c>
      <c r="B8" s="10">
        <v>2635</v>
      </c>
      <c r="C8" s="10" t="s">
        <v>194</v>
      </c>
      <c r="D8" s="10">
        <v>462.96350000000001</v>
      </c>
      <c r="E8" s="10">
        <v>13.8</v>
      </c>
      <c r="F8" s="10">
        <v>13.6</v>
      </c>
      <c r="G8" s="10">
        <v>14.1</v>
      </c>
      <c r="H8" s="10" t="s">
        <v>268</v>
      </c>
    </row>
    <row r="9" spans="1:8" x14ac:dyDescent="0.25">
      <c r="A9" s="10" t="s">
        <v>293</v>
      </c>
      <c r="B9" s="10">
        <v>2632</v>
      </c>
      <c r="C9" s="10" t="s">
        <v>194</v>
      </c>
      <c r="D9" s="10">
        <v>512.96019999999999</v>
      </c>
      <c r="E9" s="10">
        <v>14.5</v>
      </c>
      <c r="F9" s="10">
        <v>14.3</v>
      </c>
      <c r="G9" s="10">
        <v>14.8</v>
      </c>
      <c r="H9" s="10" t="s">
        <v>268</v>
      </c>
    </row>
    <row r="10" spans="1:8" x14ac:dyDescent="0.25">
      <c r="A10" s="10" t="s">
        <v>294</v>
      </c>
      <c r="B10" s="10">
        <v>2630</v>
      </c>
      <c r="C10" s="10" t="s">
        <v>194</v>
      </c>
      <c r="D10" s="10">
        <v>562.95730000000003</v>
      </c>
      <c r="E10" s="10">
        <v>15.1</v>
      </c>
      <c r="F10" s="10">
        <v>14.9</v>
      </c>
      <c r="G10" s="10">
        <v>15.4</v>
      </c>
      <c r="H10" s="10" t="s">
        <v>268</v>
      </c>
    </row>
    <row r="11" spans="1:8" x14ac:dyDescent="0.25">
      <c r="A11" s="10" t="s">
        <v>295</v>
      </c>
      <c r="B11" s="10">
        <v>2629</v>
      </c>
      <c r="C11" s="10" t="s">
        <v>194</v>
      </c>
      <c r="D11" s="10">
        <v>612.95399999999995</v>
      </c>
      <c r="E11" s="10">
        <v>15.6</v>
      </c>
      <c r="F11" s="10">
        <v>15.4</v>
      </c>
      <c r="G11" s="10">
        <v>15.8</v>
      </c>
      <c r="H11" s="10" t="s">
        <v>268</v>
      </c>
    </row>
    <row r="12" spans="1:8" x14ac:dyDescent="0.25">
      <c r="A12" s="10" t="s">
        <v>296</v>
      </c>
      <c r="B12" s="10">
        <v>2628</v>
      </c>
      <c r="C12" s="10" t="s">
        <v>194</v>
      </c>
      <c r="D12" s="10">
        <v>662.95159999999998</v>
      </c>
      <c r="E12" s="10">
        <v>16</v>
      </c>
      <c r="F12" s="10">
        <v>15.9</v>
      </c>
      <c r="G12" s="10">
        <v>16.2</v>
      </c>
      <c r="H12" s="10" t="s">
        <v>268</v>
      </c>
    </row>
    <row r="13" spans="1:8" x14ac:dyDescent="0.25">
      <c r="A13" s="10" t="s">
        <v>297</v>
      </c>
      <c r="B13" s="10">
        <v>2627</v>
      </c>
      <c r="C13" s="10" t="s">
        <v>194</v>
      </c>
      <c r="D13" s="10">
        <v>712.94870000000003</v>
      </c>
      <c r="E13" s="10">
        <v>16.3</v>
      </c>
      <c r="F13" s="10">
        <v>16.2</v>
      </c>
      <c r="G13" s="10">
        <v>16.600000000000001</v>
      </c>
      <c r="H13" s="10" t="s">
        <v>268</v>
      </c>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Schymanski et al (https://doi.org/10.1021/es5002105)"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Ion State" prompt="The ion state of the measured precursor/molecular ion associated with the entered compound identity and m/z value." xr:uid="{2D78EDB3-786F-433A-83FD-AE4B40DECCAA}">
          <x14:formula1>
            <xm:f>Input_Validation!$AF$3:$AF$12</xm:f>
          </x14:formula1>
          <xm:sqref>C4:C1048576</xm:sqref>
        </x14:dataValidation>
        <x14:dataValidation type="list" allowBlank="1" showInputMessage="1" showErrorMessage="1" promptTitle="confidence" prompt="The confidence level of the identification, based on the Schymanski et al (https://doi.org/10.1021/es5002105)" xr:uid="{4CDC0A15-0F5A-4F5F-BED0-74168185ACD7}">
          <x14:formula1>
            <xm:f>Input_Validation!$AG$3:$AG$14</xm:f>
          </x14:formula1>
          <xm:sqref>H4:H1048576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1</v>
      </c>
    </row>
    <row r="3" spans="1:2" x14ac:dyDescent="0.25">
      <c r="A3" t="s">
        <v>98</v>
      </c>
      <c r="B3" t="b">
        <f>OR(AND(Chromatography_Input!B16="none",COUNTA(Chromatography_Input!B4:B28)=20),AND(Chromatography_Input!B16&lt;&gt;"none", COUNTA(Chromatography_Input!B4:B27)=24))</f>
        <v>1</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1</v>
      </c>
    </row>
    <row r="5" spans="1:2" x14ac:dyDescent="0.25">
      <c r="A5" t="s">
        <v>100</v>
      </c>
      <c r="B5" t="b">
        <f>IF(COUNTA('QC Method_Input'!B4:B8)=5, TRUE, FALSE)</f>
        <v>1</v>
      </c>
    </row>
    <row r="6" spans="1:2" x14ac:dyDescent="0.25">
      <c r="A6" t="s">
        <v>101</v>
      </c>
      <c r="B6" t="b">
        <f>AND(COUNTA(Peaks_Input!A4:H1048576)&gt;0, COUNTA(Peaks_Input!A4:H1048576)= COUNTA(Peaks_Input!A4:A1048576)*8)</f>
        <v>1</v>
      </c>
    </row>
    <row r="7" spans="1:2" x14ac:dyDescent="0.25">
      <c r="A7" t="s">
        <v>254</v>
      </c>
      <c r="B7"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E536-B438-4811-8ADB-857EAA95D542}">
  <sheetPr codeName="Sheet10"/>
  <dimension ref="A1:E3"/>
  <sheetViews>
    <sheetView workbookViewId="0">
      <selection activeCell="A4" sqref="A4:E4"/>
    </sheetView>
  </sheetViews>
  <sheetFormatPr defaultRowHeight="15" x14ac:dyDescent="0.25"/>
  <cols>
    <col min="1" max="5" width="27.7109375" customWidth="1"/>
  </cols>
  <sheetData>
    <row r="1" spans="1:5" ht="18.75" x14ac:dyDescent="0.3">
      <c r="A1" s="2" t="s">
        <v>298</v>
      </c>
    </row>
    <row r="2" spans="1:5" x14ac:dyDescent="0.25">
      <c r="A2" s="1" t="s">
        <v>6</v>
      </c>
    </row>
    <row r="3" spans="1:5" x14ac:dyDescent="0.25">
      <c r="A3" s="1" t="s">
        <v>283</v>
      </c>
      <c r="B3" s="1" t="s">
        <v>284</v>
      </c>
      <c r="C3" s="1" t="s">
        <v>285</v>
      </c>
      <c r="D3" s="1" t="s">
        <v>286</v>
      </c>
      <c r="E3" s="1" t="s">
        <v>287</v>
      </c>
    </row>
  </sheetData>
  <dataValidations count="6">
    <dataValidation allowBlank="1" showInputMessage="1" showErrorMessage="1" promptTitle="mz" prompt="Measured m/z of the fragment to be annotated" sqref="A3" xr:uid="{953560C8-B762-4A35-9530-ED394F5338F8}"/>
    <dataValidation allowBlank="1" showInputMessage="1" showErrorMessage="1" promptTitle="Elemental Formula" prompt="The proposed elemental formula for the specific fragment, do not include charges (+/-) or radicals." sqref="B3" xr:uid="{2AAD34D0-443E-4D59-A44A-CA316E97A942}"/>
    <dataValidation allowBlank="1" showInputMessage="1" showErrorMessage="1" promptTitle="SMILES" prompt="The proposed fragment structure (in SMILES notation) for the specific fragment, leave blank if unknown." sqref="C3" xr:uid="{5C895D0B-668A-470E-A265-E8B050CFDF61}"/>
    <dataValidation allowBlank="1" showInputMessage="1" showErrorMessage="1" promptTitle="Radical" prompt="Does the proposed fragment structure contain a radical electron (TRUE, FALSE, UNKNOWN)" sqref="D3" xr:uid="{C9FB4722-7525-48BF-AF44-3EBB05820815}"/>
    <dataValidation type="list" allowBlank="1" showInputMessage="1" showErrorMessage="1" sqref="D5:D1048576" xr:uid="{02269018-8B12-4263-90CD-C8DF7CC516E7}">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528F23DE-700E-4B00-92B6-7CB15CF1E8A2}"/>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85ADB-D782-4722-83AC-719B43F7863B}">
  <sheetPr codeName="Sheet11"/>
  <dimension ref="A1:E5"/>
  <sheetViews>
    <sheetView workbookViewId="0">
      <selection activeCell="D14" sqref="D14"/>
    </sheetView>
  </sheetViews>
  <sheetFormatPr defaultRowHeight="15" x14ac:dyDescent="0.25"/>
  <cols>
    <col min="1" max="5" width="27.7109375" customWidth="1"/>
  </cols>
  <sheetData>
    <row r="1" spans="1:5" ht="18.75" x14ac:dyDescent="0.3">
      <c r="A1" s="2" t="s">
        <v>299</v>
      </c>
    </row>
    <row r="2" spans="1:5" x14ac:dyDescent="0.25">
      <c r="A2" s="1" t="s">
        <v>6</v>
      </c>
    </row>
    <row r="3" spans="1:5" x14ac:dyDescent="0.25">
      <c r="A3" s="1" t="s">
        <v>283</v>
      </c>
      <c r="B3" s="1" t="s">
        <v>284</v>
      </c>
      <c r="C3" s="1" t="s">
        <v>285</v>
      </c>
      <c r="D3" s="1" t="s">
        <v>286</v>
      </c>
      <c r="E3" s="1" t="s">
        <v>287</v>
      </c>
    </row>
    <row r="4" spans="1:5" x14ac:dyDescent="0.25">
      <c r="A4">
        <v>118.99120000000001</v>
      </c>
      <c r="B4" t="s">
        <v>313</v>
      </c>
      <c r="C4" t="s">
        <v>314</v>
      </c>
      <c r="D4" t="b">
        <v>0</v>
      </c>
      <c r="E4" t="s">
        <v>310</v>
      </c>
    </row>
    <row r="5" spans="1:5" x14ac:dyDescent="0.25">
      <c r="A5">
        <v>268.9828</v>
      </c>
      <c r="B5" t="s">
        <v>311</v>
      </c>
      <c r="C5" t="s">
        <v>312</v>
      </c>
      <c r="D5" t="b">
        <v>0</v>
      </c>
      <c r="E5" t="s">
        <v>310</v>
      </c>
    </row>
  </sheetData>
  <dataValidations count="6">
    <dataValidation allowBlank="1" showInputMessage="1" showErrorMessage="1" promptTitle="mz" prompt="Measured m/z of the fragment to be annotated" sqref="A3" xr:uid="{CEC604F3-67D2-4EE0-9FEE-0A4BD1C7F4BA}"/>
    <dataValidation allowBlank="1" showInputMessage="1" showErrorMessage="1" promptTitle="Elemental Formula" prompt="The proposed elemental formula for the specific fragment, do not include charges (+/-) or radicals." sqref="B3" xr:uid="{1BB19FC9-464E-464A-9565-F3680DFF22C2}"/>
    <dataValidation allowBlank="1" showInputMessage="1" showErrorMessage="1" promptTitle="SMILES" prompt="The proposed fragment structure (in SMILES notation) for the specific fragment, leave blank if unknown." sqref="C3" xr:uid="{5609736F-9D91-4666-8D48-A8AE1DE550A0}"/>
    <dataValidation allowBlank="1" showInputMessage="1" showErrorMessage="1" promptTitle="Radical" prompt="Does the proposed fragment structure contain a radical electron (TRUE, FALSE, UNKNOWN)" sqref="D3" xr:uid="{81427D12-1829-4EE2-9DC2-9C544D665C59}"/>
    <dataValidation type="list" allowBlank="1" showInputMessage="1" showErrorMessage="1" sqref="D6:D1048576" xr:uid="{F82EBF78-2C15-4B5D-90C5-4CE21FFBD7B9}">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0FA700F3-31C3-438F-A04F-071D95C5A1EC}"/>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15196-1899-4A4B-8022-6B5D237137EB}">
  <sheetPr codeName="Sheet12"/>
  <dimension ref="A1:E6"/>
  <sheetViews>
    <sheetView workbookViewId="0">
      <selection activeCell="A4" sqref="A4:E6"/>
    </sheetView>
  </sheetViews>
  <sheetFormatPr defaultRowHeight="15" x14ac:dyDescent="0.25"/>
  <cols>
    <col min="1" max="5" width="27.7109375" customWidth="1"/>
  </cols>
  <sheetData>
    <row r="1" spans="1:5" ht="18.75" x14ac:dyDescent="0.3">
      <c r="A1" s="2" t="s">
        <v>300</v>
      </c>
    </row>
    <row r="2" spans="1:5" x14ac:dyDescent="0.25">
      <c r="A2" s="1" t="s">
        <v>6</v>
      </c>
    </row>
    <row r="3" spans="1:5" x14ac:dyDescent="0.25">
      <c r="A3" s="1" t="s">
        <v>283</v>
      </c>
      <c r="B3" s="1" t="s">
        <v>284</v>
      </c>
      <c r="C3" s="1" t="s">
        <v>285</v>
      </c>
      <c r="D3" s="1" t="s">
        <v>286</v>
      </c>
      <c r="E3" s="1" t="s">
        <v>287</v>
      </c>
    </row>
    <row r="4" spans="1:5" x14ac:dyDescent="0.25">
      <c r="A4">
        <v>118.99120000000001</v>
      </c>
      <c r="B4" t="s">
        <v>313</v>
      </c>
      <c r="C4" t="s">
        <v>314</v>
      </c>
      <c r="D4" t="b">
        <v>0</v>
      </c>
      <c r="E4" t="s">
        <v>310</v>
      </c>
    </row>
    <row r="5" spans="1:5" x14ac:dyDescent="0.25">
      <c r="A5">
        <v>168.98830000000001</v>
      </c>
      <c r="B5" t="s">
        <v>315</v>
      </c>
      <c r="C5" t="s">
        <v>316</v>
      </c>
      <c r="D5" t="b">
        <v>0</v>
      </c>
      <c r="E5" t="s">
        <v>310</v>
      </c>
    </row>
    <row r="6" spans="1:5" x14ac:dyDescent="0.25">
      <c r="A6">
        <v>318.9796</v>
      </c>
      <c r="B6" t="s">
        <v>317</v>
      </c>
      <c r="C6" t="s">
        <v>318</v>
      </c>
      <c r="D6" t="b">
        <v>0</v>
      </c>
      <c r="E6" t="s">
        <v>310</v>
      </c>
    </row>
  </sheetData>
  <dataValidations count="6">
    <dataValidation allowBlank="1" showInputMessage="1" showErrorMessage="1" promptTitle="mz" prompt="Measured m/z of the fragment to be annotated" sqref="A3" xr:uid="{EAB170EC-C13D-4ACC-A505-F20223C5EB77}"/>
    <dataValidation allowBlank="1" showInputMessage="1" showErrorMessage="1" promptTitle="Elemental Formula" prompt="The proposed elemental formula for the specific fragment, do not include charges (+/-) or radicals." sqref="B3" xr:uid="{3B7CA3A0-656F-4D25-B877-711CDCE41012}"/>
    <dataValidation allowBlank="1" showInputMessage="1" showErrorMessage="1" promptTitle="SMILES" prompt="The proposed fragment structure (in SMILES notation) for the specific fragment, leave blank if unknown." sqref="C3" xr:uid="{6CFCFD52-7140-4C79-8296-648849492EF8}"/>
    <dataValidation allowBlank="1" showInputMessage="1" showErrorMessage="1" promptTitle="Radical" prompt="Does the proposed fragment structure contain a radical electron (TRUE, FALSE, UNKNOWN)" sqref="D3" xr:uid="{C9DE8425-AA87-4AC5-849A-125C53E01CAA}"/>
    <dataValidation type="list" allowBlank="1" showInputMessage="1" showErrorMessage="1" sqref="D7:D1048576" xr:uid="{E02C5625-F790-4AD0-9394-FFC241B10C87}">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4A96A6A2-A171-4694-9894-D553C2AB048E}"/>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97EF-B210-49A6-AD7E-495114B1588C}">
  <sheetPr codeName="Sheet13"/>
  <dimension ref="A1:E7"/>
  <sheetViews>
    <sheetView workbookViewId="0">
      <selection activeCell="D25" sqref="D25"/>
    </sheetView>
  </sheetViews>
  <sheetFormatPr defaultRowHeight="15" x14ac:dyDescent="0.25"/>
  <cols>
    <col min="1" max="5" width="27.7109375" customWidth="1"/>
  </cols>
  <sheetData>
    <row r="1" spans="1:5" ht="18.75" x14ac:dyDescent="0.3">
      <c r="A1" s="2" t="s">
        <v>301</v>
      </c>
    </row>
    <row r="2" spans="1:5" x14ac:dyDescent="0.25">
      <c r="A2" s="1" t="s">
        <v>6</v>
      </c>
    </row>
    <row r="3" spans="1:5" x14ac:dyDescent="0.25">
      <c r="A3" s="1" t="s">
        <v>283</v>
      </c>
      <c r="B3" s="1" t="s">
        <v>284</v>
      </c>
      <c r="C3" s="1" t="s">
        <v>285</v>
      </c>
      <c r="D3" s="1" t="s">
        <v>286</v>
      </c>
      <c r="E3" s="1" t="s">
        <v>287</v>
      </c>
    </row>
    <row r="4" spans="1:5" x14ac:dyDescent="0.25">
      <c r="A4">
        <v>118.9911</v>
      </c>
      <c r="B4" t="s">
        <v>313</v>
      </c>
      <c r="C4" t="s">
        <v>314</v>
      </c>
      <c r="D4" t="b">
        <v>0</v>
      </c>
      <c r="E4" t="s">
        <v>310</v>
      </c>
    </row>
    <row r="5" spans="1:5" x14ac:dyDescent="0.25">
      <c r="A5">
        <v>168.9881</v>
      </c>
      <c r="B5" t="s">
        <v>315</v>
      </c>
      <c r="C5" t="s">
        <v>316</v>
      </c>
      <c r="D5" t="b">
        <v>0</v>
      </c>
      <c r="E5" t="s">
        <v>310</v>
      </c>
    </row>
    <row r="6" spans="1:5" x14ac:dyDescent="0.25">
      <c r="A6">
        <v>218.9855</v>
      </c>
      <c r="B6" t="s">
        <v>308</v>
      </c>
      <c r="C6" t="s">
        <v>309</v>
      </c>
      <c r="D6" t="b">
        <v>0</v>
      </c>
      <c r="E6" t="s">
        <v>310</v>
      </c>
    </row>
    <row r="7" spans="1:5" x14ac:dyDescent="0.25">
      <c r="A7">
        <v>368.97559999999999</v>
      </c>
      <c r="B7" t="s">
        <v>319</v>
      </c>
      <c r="C7" t="s">
        <v>320</v>
      </c>
      <c r="D7" t="b">
        <v>0</v>
      </c>
      <c r="E7" t="s">
        <v>310</v>
      </c>
    </row>
  </sheetData>
  <dataValidations count="6">
    <dataValidation allowBlank="1" showInputMessage="1" showErrorMessage="1" promptTitle="mz" prompt="Measured m/z of the fragment to be annotated" sqref="A3" xr:uid="{0FCD703B-AC66-44FA-8ABD-F44E490AA6AA}"/>
    <dataValidation allowBlank="1" showInputMessage="1" showErrorMessage="1" promptTitle="Elemental Formula" prompt="The proposed elemental formula for the specific fragment, do not include charges (+/-) or radicals." sqref="B3" xr:uid="{F7AC3FD1-A89A-4D2C-A839-C0CA2DE5D370}"/>
    <dataValidation allowBlank="1" showInputMessage="1" showErrorMessage="1" promptTitle="SMILES" prompt="The proposed fragment structure (in SMILES notation) for the specific fragment, leave blank if unknown." sqref="C3" xr:uid="{FAAF8702-1059-49B5-A4CF-5EC058366BC5}"/>
    <dataValidation allowBlank="1" showInputMessage="1" showErrorMessage="1" promptTitle="Radical" prompt="Does the proposed fragment structure contain a radical electron (TRUE, FALSE, UNKNOWN)" sqref="D3" xr:uid="{05AE0019-9948-4BC8-8DA0-BB52BAFF9CEF}"/>
    <dataValidation type="list" allowBlank="1" showInputMessage="1" showErrorMessage="1" sqref="D8:D1048576" xr:uid="{4D6BCA61-0259-4E7C-AAF9-EBB6333FB9CD}">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F9914D43-FAA9-46B0-8C45-33C50AB980B6}"/>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905B7-9DF4-4184-A55D-FFBA1F77AA5C}">
  <sheetPr codeName="Sheet14"/>
  <dimension ref="A1:E7"/>
  <sheetViews>
    <sheetView workbookViewId="0">
      <selection activeCell="E8" sqref="A8:E8"/>
    </sheetView>
  </sheetViews>
  <sheetFormatPr defaultRowHeight="15" x14ac:dyDescent="0.25"/>
  <cols>
    <col min="1" max="5" width="27.7109375" customWidth="1"/>
  </cols>
  <sheetData>
    <row r="1" spans="1:5" ht="18.75" x14ac:dyDescent="0.3">
      <c r="A1" s="2" t="s">
        <v>302</v>
      </c>
    </row>
    <row r="2" spans="1:5" x14ac:dyDescent="0.25">
      <c r="A2" s="1" t="s">
        <v>6</v>
      </c>
    </row>
    <row r="3" spans="1:5" x14ac:dyDescent="0.25">
      <c r="A3" s="1" t="s">
        <v>283</v>
      </c>
      <c r="B3" s="1" t="s">
        <v>284</v>
      </c>
      <c r="C3" s="1" t="s">
        <v>285</v>
      </c>
      <c r="D3" s="1" t="s">
        <v>286</v>
      </c>
      <c r="E3" s="1" t="s">
        <v>287</v>
      </c>
    </row>
    <row r="4" spans="1:5" x14ac:dyDescent="0.25">
      <c r="A4">
        <v>118.9911</v>
      </c>
      <c r="B4" t="s">
        <v>313</v>
      </c>
      <c r="C4" t="s">
        <v>314</v>
      </c>
      <c r="D4" t="b">
        <v>0</v>
      </c>
      <c r="E4" t="s">
        <v>310</v>
      </c>
    </row>
    <row r="5" spans="1:5" x14ac:dyDescent="0.25">
      <c r="A5">
        <v>168.98820000000001</v>
      </c>
      <c r="B5" t="s">
        <v>315</v>
      </c>
      <c r="C5" t="s">
        <v>316</v>
      </c>
      <c r="D5" t="b">
        <v>0</v>
      </c>
      <c r="E5" t="s">
        <v>310</v>
      </c>
    </row>
    <row r="6" spans="1:5" x14ac:dyDescent="0.25">
      <c r="A6">
        <v>218.98560000000001</v>
      </c>
      <c r="B6" t="s">
        <v>308</v>
      </c>
      <c r="C6" t="s">
        <v>309</v>
      </c>
      <c r="D6" t="b">
        <v>0</v>
      </c>
      <c r="E6" t="s">
        <v>310</v>
      </c>
    </row>
    <row r="7" spans="1:5" x14ac:dyDescent="0.25">
      <c r="A7">
        <v>268.983</v>
      </c>
      <c r="B7" t="s">
        <v>311</v>
      </c>
      <c r="C7" t="s">
        <v>312</v>
      </c>
      <c r="D7" t="b">
        <v>0</v>
      </c>
      <c r="E7" t="s">
        <v>310</v>
      </c>
    </row>
  </sheetData>
  <dataValidations count="6">
    <dataValidation allowBlank="1" showInputMessage="1" showErrorMessage="1" promptTitle="mz" prompt="Measured m/z of the fragment to be annotated" sqref="A3" xr:uid="{3D64CA5D-CC4E-4F5E-A8A5-91A2FF4287BB}"/>
    <dataValidation allowBlank="1" showInputMessage="1" showErrorMessage="1" promptTitle="Elemental Formula" prompt="The proposed elemental formula for the specific fragment, do not include charges (+/-) or radicals." sqref="B3" xr:uid="{1B4F0856-40EC-416C-BBBA-47286CB46CE7}"/>
    <dataValidation allowBlank="1" showInputMessage="1" showErrorMessage="1" promptTitle="SMILES" prompt="The proposed fragment structure (in SMILES notation) for the specific fragment, leave blank if unknown." sqref="C3" xr:uid="{F987CA20-81B2-448B-ADA8-28A8FB82206A}"/>
    <dataValidation allowBlank="1" showInputMessage="1" showErrorMessage="1" promptTitle="Radical" prompt="Does the proposed fragment structure contain a radical electron (TRUE, FALSE, UNKNOWN)" sqref="D3" xr:uid="{6770E772-E9AC-44E5-8F2D-5554E55B933C}"/>
    <dataValidation type="list" allowBlank="1" showInputMessage="1" showErrorMessage="1" sqref="D9:D1048576" xr:uid="{0A0D6B08-D08A-454A-9DC7-9796976327CC}">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61217CED-F4B5-4402-9D80-8E824F6CA70C}"/>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9194C-DDAC-4A41-9477-8FB960E29CB2}">
  <sheetPr codeName="Sheet15"/>
  <dimension ref="A1:E7"/>
  <sheetViews>
    <sheetView workbookViewId="0">
      <selection activeCell="B17" sqref="B17"/>
    </sheetView>
  </sheetViews>
  <sheetFormatPr defaultRowHeight="15" x14ac:dyDescent="0.25"/>
  <cols>
    <col min="1" max="5" width="27.7109375" customWidth="1"/>
  </cols>
  <sheetData>
    <row r="1" spans="1:5" ht="18.75" x14ac:dyDescent="0.3">
      <c r="A1" s="2" t="s">
        <v>303</v>
      </c>
    </row>
    <row r="2" spans="1:5" x14ac:dyDescent="0.25">
      <c r="A2" s="1" t="s">
        <v>6</v>
      </c>
    </row>
    <row r="3" spans="1:5" x14ac:dyDescent="0.25">
      <c r="A3" s="1" t="s">
        <v>283</v>
      </c>
      <c r="B3" s="1" t="s">
        <v>284</v>
      </c>
      <c r="C3" s="1" t="s">
        <v>285</v>
      </c>
      <c r="D3" s="1" t="s">
        <v>286</v>
      </c>
      <c r="E3" s="1" t="s">
        <v>287</v>
      </c>
    </row>
    <row r="4" spans="1:5" x14ac:dyDescent="0.25">
      <c r="A4">
        <v>118.9911</v>
      </c>
      <c r="B4" t="s">
        <v>313</v>
      </c>
      <c r="C4" t="s">
        <v>314</v>
      </c>
      <c r="D4" t="b">
        <v>0</v>
      </c>
      <c r="E4" t="s">
        <v>310</v>
      </c>
    </row>
    <row r="5" spans="1:5" x14ac:dyDescent="0.25">
      <c r="A5">
        <v>168.98830000000001</v>
      </c>
      <c r="B5" t="s">
        <v>315</v>
      </c>
      <c r="C5" t="s">
        <v>316</v>
      </c>
      <c r="D5" t="b">
        <v>0</v>
      </c>
      <c r="E5" t="s">
        <v>310</v>
      </c>
    </row>
    <row r="6" spans="1:5" x14ac:dyDescent="0.25">
      <c r="A6">
        <v>218.98560000000001</v>
      </c>
      <c r="B6" t="s">
        <v>308</v>
      </c>
      <c r="C6" t="s">
        <v>309</v>
      </c>
      <c r="D6" t="b">
        <v>0</v>
      </c>
      <c r="E6" t="s">
        <v>310</v>
      </c>
    </row>
    <row r="7" spans="1:5" x14ac:dyDescent="0.25">
      <c r="A7">
        <v>268.983</v>
      </c>
      <c r="B7" t="s">
        <v>311</v>
      </c>
      <c r="C7" t="s">
        <v>312</v>
      </c>
      <c r="D7" t="b">
        <v>0</v>
      </c>
      <c r="E7" t="s">
        <v>310</v>
      </c>
    </row>
  </sheetData>
  <dataValidations count="6">
    <dataValidation allowBlank="1" showInputMessage="1" showErrorMessage="1" promptTitle="mz" prompt="Measured m/z of the fragment to be annotated" sqref="A3" xr:uid="{DF11EA53-BE25-4703-9F49-B31EA132E4AE}"/>
    <dataValidation allowBlank="1" showInputMessage="1" showErrorMessage="1" promptTitle="Elemental Formula" prompt="The proposed elemental formula for the specific fragment, do not include charges (+/-) or radicals." sqref="B3" xr:uid="{158B39BA-6EFE-4B0D-B386-A03AE07E58F9}"/>
    <dataValidation allowBlank="1" showInputMessage="1" showErrorMessage="1" promptTitle="SMILES" prompt="The proposed fragment structure (in SMILES notation) for the specific fragment, leave blank if unknown." sqref="C3" xr:uid="{9B5F0EE9-006C-4AE3-98A0-2F0C1D2B89B9}"/>
    <dataValidation allowBlank="1" showInputMessage="1" showErrorMessage="1" promptTitle="Radical" prompt="Does the proposed fragment structure contain a radical electron (TRUE, FALSE, UNKNOWN)" sqref="D3" xr:uid="{790D2698-6B65-4E70-A6FE-500C1A65000D}"/>
    <dataValidation type="list" allowBlank="1" showInputMessage="1" showErrorMessage="1" sqref="D9:D1048576" xr:uid="{934F0C1E-FC66-4FBC-998E-46B7AC523B53}">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78E36666-33E4-4204-B821-8B0E7C418962}"/>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FBCF9-FB0E-49FB-A6C8-0F458C64DC6D}">
  <sheetPr codeName="Sheet16"/>
  <dimension ref="A1:E8"/>
  <sheetViews>
    <sheetView workbookViewId="0">
      <selection activeCell="E9" sqref="A9:E9"/>
    </sheetView>
  </sheetViews>
  <sheetFormatPr defaultRowHeight="15" x14ac:dyDescent="0.25"/>
  <cols>
    <col min="1" max="5" width="27.7109375" customWidth="1"/>
  </cols>
  <sheetData>
    <row r="1" spans="1:5" ht="18.75" x14ac:dyDescent="0.3">
      <c r="A1" s="2" t="s">
        <v>304</v>
      </c>
    </row>
    <row r="2" spans="1:5" x14ac:dyDescent="0.25">
      <c r="A2" s="1" t="s">
        <v>6</v>
      </c>
    </row>
    <row r="3" spans="1:5" x14ac:dyDescent="0.25">
      <c r="A3" s="1" t="s">
        <v>283</v>
      </c>
      <c r="B3" s="1" t="s">
        <v>284</v>
      </c>
      <c r="C3" s="1" t="s">
        <v>285</v>
      </c>
      <c r="D3" s="1" t="s">
        <v>286</v>
      </c>
      <c r="E3" s="1" t="s">
        <v>287</v>
      </c>
    </row>
    <row r="4" spans="1:5" x14ac:dyDescent="0.25">
      <c r="A4">
        <v>118.9911</v>
      </c>
      <c r="B4" t="s">
        <v>313</v>
      </c>
      <c r="C4" t="s">
        <v>314</v>
      </c>
      <c r="D4" t="b">
        <v>0</v>
      </c>
      <c r="E4" t="s">
        <v>310</v>
      </c>
    </row>
    <row r="5" spans="1:5" x14ac:dyDescent="0.25">
      <c r="A5">
        <v>168.98830000000001</v>
      </c>
      <c r="B5" t="s">
        <v>315</v>
      </c>
      <c r="C5" t="s">
        <v>316</v>
      </c>
      <c r="D5" t="b">
        <v>0</v>
      </c>
      <c r="E5" t="s">
        <v>310</v>
      </c>
    </row>
    <row r="6" spans="1:5" x14ac:dyDescent="0.25">
      <c r="A6">
        <v>218.9854</v>
      </c>
      <c r="B6" t="s">
        <v>308</v>
      </c>
      <c r="C6" t="s">
        <v>309</v>
      </c>
      <c r="D6" t="b">
        <v>0</v>
      </c>
      <c r="E6" t="s">
        <v>310</v>
      </c>
    </row>
    <row r="7" spans="1:5" x14ac:dyDescent="0.25">
      <c r="A7">
        <v>268.9828</v>
      </c>
      <c r="B7" t="s">
        <v>311</v>
      </c>
      <c r="C7" t="s">
        <v>312</v>
      </c>
      <c r="D7" t="b">
        <v>0</v>
      </c>
      <c r="E7" t="s">
        <v>310</v>
      </c>
    </row>
    <row r="8" spans="1:5" x14ac:dyDescent="0.25">
      <c r="A8">
        <v>318.97930000000002</v>
      </c>
      <c r="B8" t="s">
        <v>317</v>
      </c>
      <c r="C8" t="s">
        <v>318</v>
      </c>
      <c r="D8" t="b">
        <v>0</v>
      </c>
      <c r="E8" t="s">
        <v>310</v>
      </c>
    </row>
  </sheetData>
  <dataValidations count="6">
    <dataValidation allowBlank="1" showInputMessage="1" showErrorMessage="1" promptTitle="mz" prompt="Measured m/z of the fragment to be annotated" sqref="A3" xr:uid="{F8B20973-F379-40B5-95D6-11465FEE33FB}"/>
    <dataValidation allowBlank="1" showInputMessage="1" showErrorMessage="1" promptTitle="Elemental Formula" prompt="The proposed elemental formula for the specific fragment, do not include charges (+/-) or radicals." sqref="B3" xr:uid="{E54DD405-9310-4644-B270-C0BD6CB850C3}"/>
    <dataValidation allowBlank="1" showInputMessage="1" showErrorMessage="1" promptTitle="SMILES" prompt="The proposed fragment structure (in SMILES notation) for the specific fragment, leave blank if unknown." sqref="C3" xr:uid="{BD6AE162-5D45-4FEB-A8DF-1C46C69341CF}"/>
    <dataValidation allowBlank="1" showInputMessage="1" showErrorMessage="1" promptTitle="Radical" prompt="Does the proposed fragment structure contain a radical electron (TRUE, FALSE, UNKNOWN)" sqref="D3" xr:uid="{3403689F-88CC-4F4E-B0A0-FAA5B99B416B}"/>
    <dataValidation type="list" allowBlank="1" showInputMessage="1" showErrorMessage="1" sqref="D10:D1048576" xr:uid="{F715383F-5CBB-452A-9AD1-F351E0408116}">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970F2AB4-F4E1-455D-8484-B47C917FE1CC}"/>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50F52-036C-48CD-B98F-DD25EAC1BD70}">
  <sheetPr codeName="Sheet17"/>
  <dimension ref="A1:E9"/>
  <sheetViews>
    <sheetView workbookViewId="0">
      <selection activeCell="A4" sqref="A4:E9"/>
    </sheetView>
  </sheetViews>
  <sheetFormatPr defaultRowHeight="15" x14ac:dyDescent="0.25"/>
  <cols>
    <col min="1" max="5" width="27.7109375" customWidth="1"/>
  </cols>
  <sheetData>
    <row r="1" spans="1:5" ht="18.75" x14ac:dyDescent="0.3">
      <c r="A1" s="2" t="s">
        <v>305</v>
      </c>
    </row>
    <row r="2" spans="1:5" x14ac:dyDescent="0.25">
      <c r="A2" s="1" t="s">
        <v>6</v>
      </c>
    </row>
    <row r="3" spans="1:5" x14ac:dyDescent="0.25">
      <c r="A3" s="1" t="s">
        <v>283</v>
      </c>
      <c r="B3" s="1" t="s">
        <v>284</v>
      </c>
      <c r="C3" s="1" t="s">
        <v>285</v>
      </c>
      <c r="D3" s="1" t="s">
        <v>286</v>
      </c>
      <c r="E3" s="1" t="s">
        <v>287</v>
      </c>
    </row>
    <row r="4" spans="1:5" x14ac:dyDescent="0.25">
      <c r="A4">
        <v>118.9911</v>
      </c>
      <c r="B4" t="s">
        <v>313</v>
      </c>
      <c r="C4" t="s">
        <v>314</v>
      </c>
      <c r="D4" t="b">
        <v>0</v>
      </c>
      <c r="E4" t="s">
        <v>310</v>
      </c>
    </row>
    <row r="5" spans="1:5" x14ac:dyDescent="0.25">
      <c r="A5">
        <v>168.98820000000001</v>
      </c>
      <c r="B5" t="s">
        <v>315</v>
      </c>
      <c r="C5" t="s">
        <v>316</v>
      </c>
      <c r="D5" t="b">
        <v>0</v>
      </c>
      <c r="E5" t="s">
        <v>310</v>
      </c>
    </row>
    <row r="6" spans="1:5" x14ac:dyDescent="0.25">
      <c r="A6">
        <v>218.98560000000001</v>
      </c>
      <c r="B6" t="s">
        <v>308</v>
      </c>
      <c r="C6" t="s">
        <v>309</v>
      </c>
      <c r="D6" t="b">
        <v>0</v>
      </c>
      <c r="E6" t="s">
        <v>310</v>
      </c>
    </row>
    <row r="7" spans="1:5" x14ac:dyDescent="0.25">
      <c r="A7">
        <v>268.983</v>
      </c>
      <c r="B7" t="s">
        <v>311</v>
      </c>
      <c r="C7" t="s">
        <v>312</v>
      </c>
      <c r="D7" t="b">
        <v>0</v>
      </c>
      <c r="E7" t="s">
        <v>310</v>
      </c>
    </row>
    <row r="8" spans="1:5" x14ac:dyDescent="0.25">
      <c r="A8">
        <v>318.97949999999997</v>
      </c>
      <c r="B8" t="s">
        <v>317</v>
      </c>
      <c r="C8" t="s">
        <v>318</v>
      </c>
      <c r="D8" t="b">
        <v>0</v>
      </c>
      <c r="E8" t="s">
        <v>310</v>
      </c>
    </row>
    <row r="9" spans="1:5" x14ac:dyDescent="0.25">
      <c r="A9">
        <v>368.97570000000002</v>
      </c>
      <c r="B9" t="s">
        <v>319</v>
      </c>
      <c r="C9" t="s">
        <v>320</v>
      </c>
      <c r="D9" t="b">
        <v>0</v>
      </c>
      <c r="E9" t="s">
        <v>310</v>
      </c>
    </row>
  </sheetData>
  <dataValidations count="6">
    <dataValidation allowBlank="1" showInputMessage="1" showErrorMessage="1" promptTitle="mz" prompt="Measured m/z of the fragment to be annotated" sqref="A3" xr:uid="{CDF2CEB7-2CAD-4158-B4BE-D9145F80216C}"/>
    <dataValidation allowBlank="1" showInputMessage="1" showErrorMessage="1" promptTitle="Elemental Formula" prompt="The proposed elemental formula for the specific fragment, do not include charges (+/-) or radicals." sqref="B3" xr:uid="{CDF3D62A-EAFF-49AF-AF96-7FF479B24B3D}"/>
    <dataValidation allowBlank="1" showInputMessage="1" showErrorMessage="1" promptTitle="SMILES" prompt="The proposed fragment structure (in SMILES notation) for the specific fragment, leave blank if unknown." sqref="C3" xr:uid="{5AD8BC69-E87A-4C3C-A0E0-8D951B4FA2F9}"/>
    <dataValidation allowBlank="1" showInputMessage="1" showErrorMessage="1" promptTitle="Radical" prompt="Does the proposed fragment structure contain a radical electron (TRUE, FALSE, UNKNOWN)" sqref="D3" xr:uid="{A168218B-3CC6-41A0-B9C9-56B364BCE22D}"/>
    <dataValidation type="list" allowBlank="1" showInputMessage="1" showErrorMessage="1" sqref="D10:D1048576" xr:uid="{1302BC5A-8884-4586-A311-68F1F8D9CA91}">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C5A01308-D292-48EE-AA41-BFED18B3001F}"/>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95960-DED8-4FD2-9390-8B3206EA8AEF}">
  <sheetPr codeName="Sheet18"/>
  <dimension ref="A1:E9"/>
  <sheetViews>
    <sheetView workbookViewId="0">
      <selection activeCell="A4" sqref="A4:E9"/>
    </sheetView>
  </sheetViews>
  <sheetFormatPr defaultRowHeight="15" x14ac:dyDescent="0.25"/>
  <cols>
    <col min="1" max="5" width="27.7109375" customWidth="1"/>
  </cols>
  <sheetData>
    <row r="1" spans="1:5" ht="18.75" x14ac:dyDescent="0.3">
      <c r="A1" s="2" t="s">
        <v>306</v>
      </c>
    </row>
    <row r="2" spans="1:5" x14ac:dyDescent="0.25">
      <c r="A2" s="1" t="s">
        <v>6</v>
      </c>
    </row>
    <row r="3" spans="1:5" x14ac:dyDescent="0.25">
      <c r="A3" s="1" t="s">
        <v>283</v>
      </c>
      <c r="B3" s="1" t="s">
        <v>284</v>
      </c>
      <c r="C3" s="1" t="s">
        <v>285</v>
      </c>
      <c r="D3" s="1" t="s">
        <v>286</v>
      </c>
      <c r="E3" s="1" t="s">
        <v>287</v>
      </c>
    </row>
    <row r="4" spans="1:5" x14ac:dyDescent="0.25">
      <c r="A4">
        <v>118.9911</v>
      </c>
      <c r="B4" t="s">
        <v>313</v>
      </c>
      <c r="C4" t="s">
        <v>314</v>
      </c>
      <c r="D4" t="b">
        <v>0</v>
      </c>
      <c r="E4" t="s">
        <v>310</v>
      </c>
    </row>
    <row r="5" spans="1:5" x14ac:dyDescent="0.25">
      <c r="A5">
        <v>168.98830000000001</v>
      </c>
      <c r="B5" t="s">
        <v>315</v>
      </c>
      <c r="C5" t="s">
        <v>316</v>
      </c>
      <c r="D5" t="b">
        <v>0</v>
      </c>
      <c r="E5" t="s">
        <v>310</v>
      </c>
    </row>
    <row r="6" spans="1:5" x14ac:dyDescent="0.25">
      <c r="A6">
        <v>218.9855</v>
      </c>
      <c r="B6" t="s">
        <v>308</v>
      </c>
      <c r="C6" t="s">
        <v>309</v>
      </c>
      <c r="D6" t="b">
        <v>0</v>
      </c>
      <c r="E6" t="s">
        <v>310</v>
      </c>
    </row>
    <row r="7" spans="1:5" x14ac:dyDescent="0.25">
      <c r="A7">
        <v>268.98309999999998</v>
      </c>
      <c r="B7" t="s">
        <v>311</v>
      </c>
      <c r="C7" t="s">
        <v>312</v>
      </c>
      <c r="D7" t="b">
        <v>0</v>
      </c>
      <c r="E7" t="s">
        <v>310</v>
      </c>
    </row>
    <row r="8" spans="1:5" x14ac:dyDescent="0.25">
      <c r="A8">
        <v>318.9796</v>
      </c>
      <c r="B8" t="s">
        <v>317</v>
      </c>
      <c r="C8" t="s">
        <v>318</v>
      </c>
      <c r="D8" t="b">
        <v>0</v>
      </c>
      <c r="E8" t="s">
        <v>310</v>
      </c>
    </row>
    <row r="9" spans="1:5" x14ac:dyDescent="0.25">
      <c r="A9">
        <v>368.97750000000002</v>
      </c>
      <c r="B9" t="s">
        <v>319</v>
      </c>
      <c r="C9" t="s">
        <v>320</v>
      </c>
      <c r="D9" t="b">
        <v>0</v>
      </c>
      <c r="E9" t="s">
        <v>310</v>
      </c>
    </row>
  </sheetData>
  <dataValidations count="6">
    <dataValidation allowBlank="1" showInputMessage="1" showErrorMessage="1" promptTitle="mz" prompt="Measured m/z of the fragment to be annotated" sqref="A3" xr:uid="{BFFF3B1E-CE32-41E3-8BF5-8BBF86C6672C}"/>
    <dataValidation allowBlank="1" showInputMessage="1" showErrorMessage="1" promptTitle="Elemental Formula" prompt="The proposed elemental formula for the specific fragment, do not include charges (+/-) or radicals." sqref="B3" xr:uid="{3B6B2605-EB25-4BAC-8F6A-745BC5C08EC1}"/>
    <dataValidation allowBlank="1" showInputMessage="1" showErrorMessage="1" promptTitle="SMILES" prompt="The proposed fragment structure (in SMILES notation) for the specific fragment, leave blank if unknown." sqref="C3" xr:uid="{4C694318-D238-4B7B-B632-DC273C37AFB4}"/>
    <dataValidation allowBlank="1" showInputMessage="1" showErrorMessage="1" promptTitle="Radical" prompt="Does the proposed fragment structure contain a radical electron (TRUE, FALSE, UNKNOWN)" sqref="D3" xr:uid="{E2F96AB9-7226-4E77-9C52-C659D9A26020}"/>
    <dataValidation type="list" allowBlank="1" showInputMessage="1" showErrorMessage="1" sqref="D10:D1048576" xr:uid="{6299558A-2B55-4FE3-BBCB-D1D5CC1ECF7A}">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FD35B70A-CC27-43D5-A5BA-539822F0531D}"/>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6BCDA-B63F-4989-A9DA-864E7EB21EF9}">
  <sheetPr codeName="Sheet19"/>
  <dimension ref="A1:E8"/>
  <sheetViews>
    <sheetView tabSelected="1" workbookViewId="0">
      <selection activeCell="C19" sqref="C19"/>
    </sheetView>
  </sheetViews>
  <sheetFormatPr defaultRowHeight="15" x14ac:dyDescent="0.25"/>
  <cols>
    <col min="1" max="5" width="27.7109375" customWidth="1"/>
  </cols>
  <sheetData>
    <row r="1" spans="1:5" ht="18.75" x14ac:dyDescent="0.3">
      <c r="A1" s="2" t="s">
        <v>307</v>
      </c>
    </row>
    <row r="2" spans="1:5" x14ac:dyDescent="0.25">
      <c r="A2" s="1" t="s">
        <v>6</v>
      </c>
    </row>
    <row r="3" spans="1:5" x14ac:dyDescent="0.25">
      <c r="A3" s="1" t="s">
        <v>283</v>
      </c>
      <c r="B3" s="1" t="s">
        <v>284</v>
      </c>
      <c r="C3" s="1" t="s">
        <v>285</v>
      </c>
      <c r="D3" s="1" t="s">
        <v>286</v>
      </c>
      <c r="E3" s="1" t="s">
        <v>287</v>
      </c>
    </row>
    <row r="4" spans="1:5" x14ac:dyDescent="0.25">
      <c r="A4">
        <v>118.9911</v>
      </c>
      <c r="B4" t="s">
        <v>313</v>
      </c>
      <c r="C4" t="s">
        <v>314</v>
      </c>
      <c r="D4" t="b">
        <v>0</v>
      </c>
      <c r="E4" t="s">
        <v>310</v>
      </c>
    </row>
    <row r="5" spans="1:5" x14ac:dyDescent="0.25">
      <c r="A5">
        <v>168.98830000000001</v>
      </c>
      <c r="B5" t="s">
        <v>315</v>
      </c>
      <c r="C5" t="s">
        <v>316</v>
      </c>
      <c r="D5" t="b">
        <v>0</v>
      </c>
      <c r="E5" t="s">
        <v>310</v>
      </c>
    </row>
    <row r="6" spans="1:5" x14ac:dyDescent="0.25">
      <c r="A6">
        <v>218.9855</v>
      </c>
      <c r="B6" t="s">
        <v>308</v>
      </c>
      <c r="C6" t="s">
        <v>309</v>
      </c>
      <c r="D6" t="b">
        <v>0</v>
      </c>
      <c r="E6" t="s">
        <v>310</v>
      </c>
    </row>
    <row r="7" spans="1:5" x14ac:dyDescent="0.25">
      <c r="A7">
        <v>268.98309999999998</v>
      </c>
      <c r="B7" t="s">
        <v>311</v>
      </c>
      <c r="C7" t="s">
        <v>312</v>
      </c>
      <c r="D7" t="b">
        <v>0</v>
      </c>
      <c r="E7" t="s">
        <v>310</v>
      </c>
    </row>
    <row r="8" spans="1:5" x14ac:dyDescent="0.25">
      <c r="A8">
        <v>318.97980000000001</v>
      </c>
      <c r="B8" t="s">
        <v>317</v>
      </c>
      <c r="C8" t="s">
        <v>318</v>
      </c>
      <c r="D8" t="b">
        <v>0</v>
      </c>
      <c r="E8" t="s">
        <v>310</v>
      </c>
    </row>
  </sheetData>
  <dataValidations count="6">
    <dataValidation allowBlank="1" showInputMessage="1" showErrorMessage="1" promptTitle="mz" prompt="Measured m/z of the fragment to be annotated" sqref="A3" xr:uid="{614902F6-E32B-4182-8722-077C25036B47}"/>
    <dataValidation allowBlank="1" showInputMessage="1" showErrorMessage="1" promptTitle="Elemental Formula" prompt="The proposed elemental formula for the specific fragment, do not include charges (+/-) or radicals." sqref="B3" xr:uid="{AB51FFF0-7F76-4F1E-A78D-680FF9C936AD}"/>
    <dataValidation allowBlank="1" showInputMessage="1" showErrorMessage="1" promptTitle="SMILES" prompt="The proposed fragment structure (in SMILES notation) for the specific fragment, leave blank if unknown." sqref="C3" xr:uid="{DF4B7178-B399-4776-AA73-0C0B5A3F8887}"/>
    <dataValidation allowBlank="1" showInputMessage="1" showErrorMessage="1" promptTitle="Radical" prompt="Does the proposed fragment structure contain a radical electron (TRUE, FALSE, UNKNOWN)" sqref="D3" xr:uid="{40773AB4-07AF-4B31-8267-C0200C83CE95}"/>
    <dataValidation type="list" allowBlank="1" showInputMessage="1" showErrorMessage="1" sqref="D11:D1048576" xr:uid="{7509EDAA-103B-424D-923F-27EE25BD1DCC}">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D65C0F0E-F4B2-4EFB-96B3-93E895D19A50}"/>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Run</vt:lpstr>
      <vt:lpstr>Input_Validation</vt:lpstr>
      <vt:lpstr>Sample_Input</vt:lpstr>
      <vt:lpstr>Import</vt:lpstr>
      <vt:lpstr>Chromatography_Input</vt:lpstr>
      <vt:lpstr>Mass Spectrometry_Input</vt:lpstr>
      <vt:lpstr>QC Method_Input</vt:lpstr>
      <vt:lpstr>Peaks_Input</vt:lpstr>
      <vt:lpstr>QC_Check</vt:lpstr>
      <vt:lpstr>Ann_Perfluoropentanoic acid</vt:lpstr>
      <vt:lpstr>Ann_Perfluorohexanoic acid</vt:lpstr>
      <vt:lpstr>Ann_Perfluoroheptanoic acid</vt:lpstr>
      <vt:lpstr>Ann_Perfluorooctanoic acid</vt:lpstr>
      <vt:lpstr>Ann_Perfluorononanoic acid</vt:lpstr>
      <vt:lpstr>Ann_Perfluorodecanoic acid</vt:lpstr>
      <vt:lpstr>Ann_Perfluoroundecanoic acid</vt:lpstr>
      <vt:lpstr>Ann_Perfluorododecanoic acid</vt:lpstr>
      <vt:lpstr>Ann_Perfluorotridecanoic acid</vt:lpstr>
      <vt:lpstr>Ann_Perfluorotetradecanoic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cp:lastPrinted>2022-03-07T20:41:46Z</cp:lastPrinted>
  <dcterms:created xsi:type="dcterms:W3CDTF">2021-05-27T17:33:27Z</dcterms:created>
  <dcterms:modified xsi:type="dcterms:W3CDTF">2022-03-07T21:36:51Z</dcterms:modified>
</cp:coreProperties>
</file>