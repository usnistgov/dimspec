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09C5B8E5-02B7-4AC5-9C66-33B3A7F51CE6}" xr6:coauthVersionLast="45" xr6:coauthVersionMax="45" xr10:uidLastSave="{00000000-0000-0000-0000-000000000000}"/>
  <bookViews>
    <workbookView xWindow="-120" yWindow="-120" windowWidth="25440" windowHeight="15390" xr2:uid="{90B8E717-CD35-4EBB-A047-3C52215825F8}"/>
  </bookViews>
  <sheets>
    <sheet name="Run" sheetId="10" r:id="rId1"/>
    <sheet name="Input_Validation" sheetId="11" state="hidden" r:id="rId2"/>
    <sheet name="Sample_Input" sheetId="5" r:id="rId3"/>
    <sheet name="Chromatography_Input" sheetId="1" r:id="rId4"/>
    <sheet name="Mass Spectrometry_Input" sheetId="3" r:id="rId5"/>
    <sheet name="QC Method_Input" sheetId="4" r:id="rId6"/>
    <sheet name="Peaks_Input" sheetId="8" r:id="rId7"/>
    <sheet name="Ann_Perfluoropentanoic acid" sheetId="13" r:id="rId8"/>
    <sheet name="Ann_Perfluorohexanoic acid" sheetId="14" r:id="rId9"/>
    <sheet name="Ann_Perfluoroheptanoic acid" sheetId="15" r:id="rId10"/>
    <sheet name="Ann_Perfluorooctanoic acid" sheetId="16" r:id="rId11"/>
    <sheet name="Ann_Perfluorononanoic acid" sheetId="17" r:id="rId12"/>
    <sheet name="Ann_Perfluorodecanoic acid" sheetId="18" r:id="rId13"/>
    <sheet name="Ann_Perfluoroundecanoic acid" sheetId="20" r:id="rId14"/>
    <sheet name="Ann_Perfluorododecanoic acid" sheetId="19" r:id="rId15"/>
    <sheet name="Ann_Perfluorotridecanoic acid" sheetId="21" r:id="rId16"/>
    <sheet name="Ann_Perfluorotetradecanoic acid" sheetId="22" r:id="rId17"/>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6" i="10" l="1"/>
  <c r="C7" i="10" l="1"/>
  <c r="C8" i="10" l="1"/>
  <c r="C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CB1EFEF-6169-480B-A5D0-BF94711BAE83}">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500A0DD-DB98-4336-B106-B57282F8AA95}">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2FCAC71-4312-4C37-BA8B-3E13E1841882}">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E958C2D-0F4B-4B80-B8A3-D2B6C432A249}">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73A2522A-8DB5-4CBA-B79B-461321A78755}">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D80E9C7D-143B-41C5-AA1B-972E1C1C16FC}">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878A25C-A032-4DAE-AAF6-1B7EDF1C711C}">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07FFB1B-6DAB-4911-8834-C27E55F04206}">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75765B0-28F0-4AD7-B377-B5D895DE31BA}">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625E3324-794B-46AA-AA4A-24134302233E}">
      <text/>
    </comment>
  </commentList>
</comments>
</file>

<file path=xl/sharedStrings.xml><?xml version="1.0" encoding="utf-8"?>
<sst xmlns="http://schemas.openxmlformats.org/spreadsheetml/2006/main" count="635" uniqueCount="296">
  <si>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</si>
  <si>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</si>
  <si>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</si>
  <si>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</si>
  <si>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</si>
  <si>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</si>
  <si>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</si>
  <si>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</si>
  <si>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</si>
  <si>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</si>
  <si>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</si>
  <si>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</si>
  <si>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</si>
  <si>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</si>
  <si>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</si>
  <si>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</si>
  <si>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</si>
  <si>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</si>
  <si>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</si>
  <si>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</si>
  <si>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</si>
  <si>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</si>
  <si>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</si>
  <si>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</si>
  <si>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</si>
  <si>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</si>
  <si>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</si>
  <si>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</si>
  <si>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</si>
  <si>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</si>
  <si>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</si>
  <si>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</si>
  <si>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</si>
  <si>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</si>
  <si>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</si>
  <si>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imode</t>
  </si>
  <si>
    <t>Polarity</t>
  </si>
  <si>
    <t>negative</t>
  </si>
  <si>
    <t>polarity</t>
  </si>
  <si>
    <t>vvalue</t>
  </si>
  <si>
    <t>Ionization Voltage/Current Units</t>
  </si>
  <si>
    <t>V</t>
  </si>
  <si>
    <t>vunits</t>
  </si>
  <si>
    <t>First Mass Analyzer</t>
  </si>
  <si>
    <t>quadrupole</t>
  </si>
  <si>
    <t>massanalyzer1</t>
  </si>
  <si>
    <t>Second Mass Analyzer</t>
  </si>
  <si>
    <t>orbitrap</t>
  </si>
  <si>
    <t>massanalyzer2</t>
  </si>
  <si>
    <t>HCD</t>
  </si>
  <si>
    <t>fragmode</t>
  </si>
  <si>
    <t>cevalue</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</si>
  <si>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</si>
  <si>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</si>
  <si>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</si>
  <si>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</si>
  <si>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</si>
  <si>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</si>
  <si>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</si>
  <si>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</si>
  <si>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</si>
  <si>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</si>
  <si>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</si>
  <si>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</si>
  <si>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</si>
  <si>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</si>
  <si>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</si>
  <si>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</si>
  <si>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</si>
  <si>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</si>
  <si>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</si>
  <si>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</si>
  <si>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</si>
  <si>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</si>
  <si>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</si>
  <si>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</si>
  <si>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</si>
  <si>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</si>
  <si>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</si>
  <si>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</si>
  <si>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</si>
  <si>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</si>
  <si>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</si>
  <si>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</si>
  <si>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</si>
  <si>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</si>
  <si>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</si>
  <si>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</si>
  <si>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</si>
  <si>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</si>
  <si>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</si>
  <si>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</si>
  <si>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</si>
  <si>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</si>
  <si>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</si>
  <si>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</si>
  <si>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</si>
  <si>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</si>
  <si>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</si>
  <si>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</si>
  <si>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</si>
  <si>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</si>
  <si>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</si>
  <si>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</si>
  <si>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</si>
  <si>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</si>
  <si>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</si>
  <si>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</si>
  <si>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</si>
  <si>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</si>
  <si>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</si>
  <si>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</si>
  <si>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</si>
  <si>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</si>
  <si>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</si>
  <si>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</si>
  <si>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</si>
  <si>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</si>
  <si>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</si>
  <si>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</si>
  <si>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</si>
  <si>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</si>
  <si>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</si>
  <si>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</si>
  <si>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</si>
  <si>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</si>
  <si>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</si>
  <si>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</si>
  <si>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</si>
  <si>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</si>
  <si>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</si>
  <si>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</si>
  <si>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</si>
  <si>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</si>
  <si>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</si>
  <si>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</si>
  <si>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</si>
  <si>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</si>
  <si>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</si>
  <si>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</si>
  <si>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</si>
  <si>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</si>
  <si>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</si>
  <si>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</si>
  <si>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</si>
  <si>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</si>
  <si>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</si>
  <si>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</si>
  <si>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</si>
  <si>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</si>
  <si>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</si>
  <si>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</si>
  <si>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</si>
  <si>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</si>
  <si>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</si>
  <si>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</si>
  <si>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</si>
  <si>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</si>
  <si>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</si>
  <si>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</si>
  <si>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</si>
  <si>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</si>
  <si>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</si>
  <si>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</si>
  <si>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</si>
  <si>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</si>
  <si>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</si>
  <si>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</si>
  <si>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</si>
  <si>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</si>
  <si>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</si>
  <si>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</si>
  <si>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</si>
  <si>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</si>
  <si>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</si>
  <si>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</si>
  <si>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</si>
  <si>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</si>
  <si>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</si>
  <si>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</si>
  <si>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</si>
  <si>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</si>
  <si>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</si>
  <si>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</si>
  <si>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</si>
  <si>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</si>
  <si>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</si>
  <si>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</si>
  <si>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</si>
  <si>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</si>
  <si>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</si>
  <si>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</si>
  <si>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</si>
  <si>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</si>
  <si>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</si>
  <si>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</si>
  <si>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</si>
  <si>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</si>
  <si>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</si>
  <si>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</si>
  <si>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</si>
  <si>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PFAC30PAR_PFCA2.mzML</t>
  </si>
  <si>
    <t>UltiMate 3000</t>
  </si>
  <si>
    <t>Poroshell C18</t>
  </si>
  <si>
    <t>C18</t>
  </si>
  <si>
    <t>Q-Exactive</t>
  </si>
  <si>
    <t>Perfluoropentanoic acid</t>
  </si>
  <si>
    <t>Perfluorohexanoic acid</t>
  </si>
  <si>
    <t>Perfluoroheptanoic acid</t>
  </si>
  <si>
    <t>Perfluorooctanoic acid</t>
  </si>
  <si>
    <t>Perfluorononanoic acid</t>
  </si>
  <si>
    <t>Perfluorodecanoic acid</t>
  </si>
  <si>
    <t>Perfluorododecanoic acid</t>
  </si>
  <si>
    <t>Perfluoroundecanoic acid</t>
  </si>
  <si>
    <t>Perfluorotridecanoic acid</t>
  </si>
  <si>
    <t>Reference Standard for PFAS</t>
  </si>
  <si>
    <t>fourier transform ion cyclotron resonance</t>
  </si>
  <si>
    <t>Fragment m/z</t>
  </si>
  <si>
    <t>Fragment Elemental Formula</t>
  </si>
  <si>
    <t>Fragment SMILES</t>
  </si>
  <si>
    <t>Radical?</t>
  </si>
  <si>
    <t>Fragment Citation</t>
  </si>
  <si>
    <t>Peak Annotation for Perfluoropentanoic acid</t>
  </si>
  <si>
    <t>Peak Annotation for Perfluorohexanoic acid</t>
  </si>
  <si>
    <t>Peak Annotation for Perfluoroheptanoic acid</t>
  </si>
  <si>
    <t>Peak Annotation for Perfluorooctanoic acid</t>
  </si>
  <si>
    <t>Peak Annotation for Perfluorononanoic acid</t>
  </si>
  <si>
    <t>Peak Annotation for Perfluorodecanoic acid</t>
  </si>
  <si>
    <t>Peak Annotation for Perfluorododecanoic acid</t>
  </si>
  <si>
    <t>Peak Annotation for Perfluoroundecanoic acid</t>
  </si>
  <si>
    <t>Peak Annotation for Perfluorotridecanoic acid</t>
  </si>
  <si>
    <t>C4F9</t>
  </si>
  <si>
    <t>FC(F)([C-](F)F)C(F)(F)C(F)(F)F</t>
  </si>
  <si>
    <t>DOI:10.1002/rcm.3274</t>
  </si>
  <si>
    <t>C2F5</t>
  </si>
  <si>
    <t>F[C-](F)C(F)(F)F</t>
  </si>
  <si>
    <t>C5F11</t>
  </si>
  <si>
    <t>FC(F)(C(F)(F)C(F)(F)F)C(F)(F)[C-](F)F</t>
  </si>
  <si>
    <t>C3F7</t>
  </si>
  <si>
    <t>F[C-](F)C(F)(F)C(F)(F)F</t>
  </si>
  <si>
    <t>C6F13</t>
  </si>
  <si>
    <t>FC(F)(C(F)(F)C(F)(F)F)C(F)(F)C(F)(F)[C-](F)F</t>
  </si>
  <si>
    <t>C7F15</t>
  </si>
  <si>
    <t>FC(F)(C(F)(F)C(F)(F)F)C(F)(F)C(F)(F)C(F)(F)[C-](F)F</t>
  </si>
  <si>
    <t>Submitted by</t>
  </si>
  <si>
    <t>bjp@nist.gov</t>
  </si>
  <si>
    <t>Ion State</t>
  </si>
  <si>
    <t>[M+H]+</t>
  </si>
  <si>
    <t>[M]+</t>
  </si>
  <si>
    <t>[M+Na]+</t>
  </si>
  <si>
    <t>[M+K]+</t>
  </si>
  <si>
    <t>[M+NH4]+</t>
  </si>
  <si>
    <t>[M-H2O+H]+</t>
  </si>
  <si>
    <t>[M]-</t>
  </si>
  <si>
    <t>[M-FCO2H]-</t>
  </si>
  <si>
    <t>[2M-H]-</t>
  </si>
  <si>
    <t>[M-H]-</t>
  </si>
  <si>
    <t>Verified?</t>
  </si>
  <si>
    <t>Perfluorotetradecanoic acid</t>
  </si>
  <si>
    <t>Peak Annotation for Perfluorotetradecanoic acid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</si>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</sst>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hyperlink" Target="mailto:bjp@nist.gov"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H5" sqref="H5"/>
    </sheetView>
  </sheetViews>
  <sheetFormatPr defaultRowHeight="15" x14ac:dyDescent="0.25"/>
  <cols>
    <col min="2" max="2" width="30.140625" customWidth="1"/>
  </cols>
  <sheetData>
    <row r="1" spans="1:3" ht="21" x14ac:dyDescent="0.35">
      <c r="A1" s="7" t="s">
        <v>116</v>
      </c>
    </row>
    <row r="3" spans="1:3" x14ac:dyDescent="0.25">
      <c r="A3" s="1" t="s">
        <v>106</v>
      </c>
    </row>
    <row r="4" spans="1:3" x14ac:dyDescent="0.25">
      <c r="B4" s="1" t="s">
        <v>112</v>
      </c>
      <c r="C4" s="1" t="s">
        <v>113</v>
      </c>
    </row>
    <row r="5" spans="1:3" x14ac:dyDescent="0.25">
      <c r="B5" s="8" t="s">
        <v>107</v>
      </c>
      <c r="C5" t="b">
        <f>IF(COUNTA(Sample_Input!B4:B7)=4, TRUE, FALSE)</f>
        <v>1</v>
      </c>
    </row>
    <row r="6" spans="1:3" x14ac:dyDescent="0.25">
      <c r="B6" s="8" t="s">
        <v>108</v>
      </c>
      <c r="C6" t="b">
        <f>IF(COUNTA(Chromatography_Input!B4:B22,Chromatography_Input!B24)=20,TRUE,FALSE)</f>
        <v>1</v>
      </c>
    </row>
    <row r="7" spans="1:3" x14ac:dyDescent="0.25">
      <c r="B7" s="8" t="s">
        <v>109</v>
      </c>
      <c r="C7" t="b">
        <f>IF(COUNTA('Mass Spectrometry_Input'!B4:B20)&gt;13, TRUE, FALSE)</f>
        <v>1</v>
      </c>
    </row>
    <row r="8" spans="1:3" x14ac:dyDescent="0.25">
      <c r="B8" s="8" t="s">
        <v>110</v>
      </c>
      <c r="C8" t="b">
        <f>IF(COUNTA('QC Method_Input'!B4:B8)=5, TRUE, FALSE)</f>
        <v>1</v>
      </c>
    </row>
    <row r="9" spans="1:3" x14ac:dyDescent="0.25">
      <c r="B9" s="8" t="s">
        <v>111</v>
      </c>
      <c r="C9" t="b">
        <f>AND(COUNTA(Peaks_Input!A4:H1048576)&gt;0, COUNTA(Peaks_Input!A4:H1048576)= COUNTA(Peaks_Input!A4:A1048576)*8)</f>
        <v>1</v>
      </c>
    </row>
    <row r="11" spans="1:3" x14ac:dyDescent="0.25">
      <c r="A11" s="1" t="s">
        <v>138</v>
      </c>
    </row>
    <row r="12" spans="1:3" x14ac:dyDescent="0.25">
      <c r="B12" t="s">
        <v>140</v>
      </c>
      <c r="C12" t="b">
        <v>1</v>
      </c>
    </row>
    <row r="14" spans="1:3" x14ac:dyDescent="0.25">
      <c r="A14" s="1" t="s">
        <v>137</v>
      </c>
    </row>
    <row r="17" spans="1:2" x14ac:dyDescent="0.25">
      <c r="A17" s="1" t="s">
        <v>139</v>
      </c>
    </row>
    <row r="18" spans="1:2" x14ac:dyDescent="0.25">
      <c r="B18" t="s">
        <v>114</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65</v>
      </c>
      <c r="B1" t="s">
        <v>5</v>
      </c>
      <c r="C1" t="s">
        <v>28</v>
      </c>
      <c r="D1" t="s">
        <v>141</v>
      </c>
      <c r="E1" t="s">
        <v>1</v>
      </c>
      <c r="F1" t="s">
        <v>2</v>
      </c>
      <c r="G1" t="s">
        <v>8</v>
      </c>
      <c r="H1" t="s">
        <v>9</v>
      </c>
      <c r="I1" t="s">
        <v>10</v>
      </c>
      <c r="J1" t="s">
        <v>11</v>
      </c>
      <c r="K1" t="s">
        <v>12</v>
      </c>
      <c r="L1" t="s">
        <v>13</v>
      </c>
      <c r="M1" t="s">
        <v>188</v>
      </c>
      <c r="N1" t="s">
        <v>189</v>
      </c>
      <c r="O1" t="s">
        <v>155</v>
      </c>
      <c r="P1" t="s">
        <v>158</v>
      </c>
      <c r="Q1" t="s">
        <v>32</v>
      </c>
      <c r="R1" t="s">
        <v>33</v>
      </c>
      <c r="S1" t="s">
        <v>36</v>
      </c>
      <c r="T1" t="s">
        <v>40</v>
      </c>
      <c r="U1" t="s">
        <v>43</v>
      </c>
      <c r="V1" t="s">
        <v>46</v>
      </c>
      <c r="W1" t="s">
        <v>195</v>
      </c>
      <c r="X1" t="s">
        <v>197</v>
      </c>
      <c r="Y1" t="s">
        <v>198</v>
      </c>
      <c r="Z1" t="s">
        <v>67</v>
      </c>
      <c r="AA1" t="s">
        <v>115</v>
      </c>
      <c r="AB1" t="s">
        <v>54</v>
      </c>
      <c r="AC1" t="s">
        <v>55</v>
      </c>
      <c r="AD1" t="s">
        <v>56</v>
      </c>
      <c r="AE1" t="s">
        <v>57</v>
      </c>
      <c r="AF1" t="s">
        <v>246</v>
      </c>
    </row>
    <row r="2" spans="1:32" ht="18.75" customHeight="1" x14ac:dyDescent="0.25">
      <c r="A2" t="s">
        <v>261</v>
      </c>
      <c r="B2" t="s">
        <v>262</v>
      </c>
      <c r="C2" t="s">
        <v>263</v>
      </c>
      <c r="D2" t="s">
        <v>264</v>
      </c>
      <c r="E2" t="s">
        <v>265</v>
      </c>
      <c r="F2" t="s">
        <v>266</v>
      </c>
      <c r="G2" t="s">
        <v>267</v>
      </c>
      <c r="H2" t="s">
        <v>268</v>
      </c>
      <c r="I2" t="s">
        <v>269</v>
      </c>
      <c r="J2" t="s">
        <v>270</v>
      </c>
      <c r="K2" t="s">
        <v>271</v>
      </c>
      <c r="L2" t="s">
        <v>272</v>
      </c>
      <c r="M2" t="s">
        <v>273</v>
      </c>
      <c r="N2" t="s">
        <v>274</v>
      </c>
      <c r="O2" t="s">
        <v>275</v>
      </c>
      <c r="P2" t="s">
        <v>276</v>
      </c>
      <c r="Q2" t="s">
        <v>277</v>
      </c>
      <c r="R2" t="s">
        <v>278</v>
      </c>
      <c r="S2" t="s">
        <v>279</v>
      </c>
      <c r="T2" t="s">
        <v>280</v>
      </c>
      <c r="U2" t="s">
        <v>281</v>
      </c>
      <c r="V2" t="s">
        <v>282</v>
      </c>
      <c r="W2" t="s">
        <v>283</v>
      </c>
      <c r="X2" t="s">
        <v>284</v>
      </c>
      <c r="Y2" t="s">
        <v>285</v>
      </c>
      <c r="Z2" s="14" t="s">
        <v>292</v>
      </c>
      <c r="AA2" s="14" t="s">
        <v>287</v>
      </c>
      <c r="AB2" s="14" t="s">
        <v>288</v>
      </c>
      <c r="AC2" s="14" t="s">
        <v>289</v>
      </c>
      <c r="AD2" s="14" t="s">
        <v>290</v>
      </c>
      <c r="AE2" s="14" t="s">
        <v>291</v>
      </c>
      <c r="AF2" t="s">
        <v>286</v>
      </c>
    </row>
    <row r="3" spans="1:32" x14ac:dyDescent="0.25">
      <c r="A3" t="s">
        <v>77</v>
      </c>
      <c r="B3" t="s">
        <v>86</v>
      </c>
      <c r="C3" t="s">
        <v>7</v>
      </c>
      <c r="D3" t="s">
        <v>14</v>
      </c>
      <c r="E3" t="s">
        <v>14</v>
      </c>
      <c r="F3" t="s">
        <v>14</v>
      </c>
      <c r="G3" t="s">
        <v>14</v>
      </c>
      <c r="H3" t="s">
        <v>14</v>
      </c>
      <c r="I3" t="s">
        <v>14</v>
      </c>
      <c r="J3" t="s">
        <v>14</v>
      </c>
      <c r="K3" t="s">
        <v>14</v>
      </c>
      <c r="L3" t="s">
        <v>14</v>
      </c>
      <c r="M3" t="s">
        <v>7</v>
      </c>
      <c r="N3" t="s">
        <v>14</v>
      </c>
      <c r="O3" t="s">
        <v>14</v>
      </c>
      <c r="P3" t="s">
        <v>14</v>
      </c>
      <c r="Q3" t="s">
        <v>7</v>
      </c>
      <c r="R3" t="s">
        <v>34</v>
      </c>
      <c r="S3" t="s">
        <v>121</v>
      </c>
      <c r="T3" t="s">
        <v>41</v>
      </c>
      <c r="U3" t="s">
        <v>14</v>
      </c>
      <c r="V3" t="s">
        <v>14</v>
      </c>
      <c r="W3" t="s">
        <v>49</v>
      </c>
      <c r="X3" t="s">
        <v>135</v>
      </c>
      <c r="Y3" t="s">
        <v>134</v>
      </c>
      <c r="Z3" t="s">
        <v>14</v>
      </c>
      <c r="AA3" t="b">
        <v>1</v>
      </c>
      <c r="AB3" t="b">
        <v>1</v>
      </c>
      <c r="AC3" t="b">
        <v>1</v>
      </c>
      <c r="AD3" t="b">
        <v>1</v>
      </c>
      <c r="AE3" t="b">
        <v>1</v>
      </c>
      <c r="AF3" t="s">
        <v>248</v>
      </c>
    </row>
    <row r="4" spans="1:32" x14ac:dyDescent="0.25">
      <c r="A4" t="s">
        <v>78</v>
      </c>
      <c r="B4" t="s">
        <v>87</v>
      </c>
      <c r="C4" t="s">
        <v>29</v>
      </c>
      <c r="D4" t="s">
        <v>95</v>
      </c>
      <c r="E4" t="s">
        <v>95</v>
      </c>
      <c r="F4" t="s">
        <v>96</v>
      </c>
      <c r="G4" t="s">
        <v>95</v>
      </c>
      <c r="H4" t="s">
        <v>96</v>
      </c>
      <c r="I4" t="s">
        <v>95</v>
      </c>
      <c r="J4" t="s">
        <v>96</v>
      </c>
      <c r="K4" t="s">
        <v>95</v>
      </c>
      <c r="L4" t="s">
        <v>96</v>
      </c>
      <c r="M4" t="s">
        <v>29</v>
      </c>
      <c r="N4" t="s">
        <v>166</v>
      </c>
      <c r="O4" t="s">
        <v>7</v>
      </c>
      <c r="P4" t="s">
        <v>166</v>
      </c>
      <c r="Q4" t="s">
        <v>29</v>
      </c>
      <c r="R4" t="s">
        <v>117</v>
      </c>
      <c r="S4" t="s">
        <v>37</v>
      </c>
      <c r="T4" t="s">
        <v>122</v>
      </c>
      <c r="U4" t="s">
        <v>44</v>
      </c>
      <c r="V4" t="s">
        <v>44</v>
      </c>
      <c r="W4" t="s">
        <v>129</v>
      </c>
      <c r="X4" t="s">
        <v>136</v>
      </c>
      <c r="Y4" t="s">
        <v>41</v>
      </c>
      <c r="Z4" t="s">
        <v>131</v>
      </c>
      <c r="AA4" t="b">
        <v>0</v>
      </c>
      <c r="AB4" t="b">
        <v>0</v>
      </c>
      <c r="AC4" t="b">
        <v>0</v>
      </c>
      <c r="AD4" t="b">
        <v>0</v>
      </c>
      <c r="AE4" t="b">
        <v>0</v>
      </c>
      <c r="AF4" t="s">
        <v>247</v>
      </c>
    </row>
    <row r="5" spans="1:32" x14ac:dyDescent="0.25">
      <c r="A5" t="s">
        <v>79</v>
      </c>
      <c r="B5" t="s">
        <v>88</v>
      </c>
      <c r="C5" t="s">
        <v>90</v>
      </c>
      <c r="D5" t="s">
        <v>99</v>
      </c>
      <c r="E5" t="s">
        <v>99</v>
      </c>
      <c r="F5" t="s">
        <v>98</v>
      </c>
      <c r="G5" t="s">
        <v>99</v>
      </c>
      <c r="H5" t="s">
        <v>98</v>
      </c>
      <c r="I5" t="s">
        <v>99</v>
      </c>
      <c r="J5" t="s">
        <v>98</v>
      </c>
      <c r="K5" t="s">
        <v>99</v>
      </c>
      <c r="L5" t="s">
        <v>98</v>
      </c>
      <c r="M5" t="s">
        <v>90</v>
      </c>
      <c r="N5" t="s">
        <v>167</v>
      </c>
      <c r="O5" t="s">
        <v>29</v>
      </c>
      <c r="P5" t="s">
        <v>167</v>
      </c>
      <c r="Q5" t="s">
        <v>90</v>
      </c>
      <c r="R5" t="s">
        <v>118</v>
      </c>
      <c r="T5" t="s">
        <v>123</v>
      </c>
      <c r="U5" t="s">
        <v>126</v>
      </c>
      <c r="V5" t="s">
        <v>126</v>
      </c>
      <c r="W5" t="s">
        <v>130</v>
      </c>
      <c r="Z5" t="s">
        <v>133</v>
      </c>
      <c r="AF5" t="s">
        <v>249</v>
      </c>
    </row>
    <row r="6" spans="1:32" x14ac:dyDescent="0.25">
      <c r="A6" t="s">
        <v>81</v>
      </c>
      <c r="B6" t="s">
        <v>89</v>
      </c>
      <c r="C6" t="s">
        <v>91</v>
      </c>
      <c r="D6" t="s">
        <v>97</v>
      </c>
      <c r="E6" t="s">
        <v>97</v>
      </c>
      <c r="F6" t="s">
        <v>100</v>
      </c>
      <c r="G6" t="s">
        <v>97</v>
      </c>
      <c r="H6" t="s">
        <v>100</v>
      </c>
      <c r="I6" t="s">
        <v>97</v>
      </c>
      <c r="J6" t="s">
        <v>100</v>
      </c>
      <c r="K6" t="s">
        <v>97</v>
      </c>
      <c r="L6" t="s">
        <v>100</v>
      </c>
      <c r="M6" t="s">
        <v>91</v>
      </c>
      <c r="N6" t="s">
        <v>164</v>
      </c>
      <c r="O6" t="s">
        <v>90</v>
      </c>
      <c r="P6" t="s">
        <v>164</v>
      </c>
      <c r="Q6" t="s">
        <v>91</v>
      </c>
      <c r="R6" t="s">
        <v>119</v>
      </c>
      <c r="T6" t="s">
        <v>124</v>
      </c>
      <c r="U6" t="s">
        <v>127</v>
      </c>
      <c r="V6" t="s">
        <v>127</v>
      </c>
      <c r="W6" t="s">
        <v>196</v>
      </c>
      <c r="Z6" t="s">
        <v>132</v>
      </c>
      <c r="AF6" t="s">
        <v>250</v>
      </c>
    </row>
    <row r="7" spans="1:32" x14ac:dyDescent="0.25">
      <c r="A7" t="s">
        <v>80</v>
      </c>
      <c r="C7" t="s">
        <v>92</v>
      </c>
      <c r="D7" t="s">
        <v>101</v>
      </c>
      <c r="E7" t="s">
        <v>101</v>
      </c>
      <c r="F7" t="s">
        <v>102</v>
      </c>
      <c r="G7" t="s">
        <v>101</v>
      </c>
      <c r="H7" t="s">
        <v>102</v>
      </c>
      <c r="I7" t="s">
        <v>101</v>
      </c>
      <c r="J7" t="s">
        <v>102</v>
      </c>
      <c r="K7" t="s">
        <v>101</v>
      </c>
      <c r="L7" t="s">
        <v>102</v>
      </c>
      <c r="M7" t="s">
        <v>105</v>
      </c>
      <c r="N7" t="s">
        <v>165</v>
      </c>
      <c r="O7" t="s">
        <v>91</v>
      </c>
      <c r="P7" t="s">
        <v>165</v>
      </c>
      <c r="Q7" t="s">
        <v>92</v>
      </c>
      <c r="R7" t="s">
        <v>120</v>
      </c>
      <c r="T7" t="s">
        <v>125</v>
      </c>
      <c r="U7" t="s">
        <v>128</v>
      </c>
      <c r="V7" t="s">
        <v>128</v>
      </c>
      <c r="AF7" t="s">
        <v>251</v>
      </c>
    </row>
    <row r="8" spans="1:32" x14ac:dyDescent="0.25">
      <c r="A8" t="s">
        <v>82</v>
      </c>
      <c r="C8" t="s">
        <v>93</v>
      </c>
      <c r="D8" t="s">
        <v>175</v>
      </c>
      <c r="E8" t="s">
        <v>175</v>
      </c>
      <c r="F8" t="s">
        <v>103</v>
      </c>
      <c r="G8" t="s">
        <v>175</v>
      </c>
      <c r="H8" t="s">
        <v>103</v>
      </c>
      <c r="I8" t="s">
        <v>175</v>
      </c>
      <c r="J8" t="s">
        <v>103</v>
      </c>
      <c r="K8" t="s">
        <v>175</v>
      </c>
      <c r="L8" t="s">
        <v>103</v>
      </c>
      <c r="M8" t="s">
        <v>161</v>
      </c>
      <c r="N8" t="s">
        <v>172</v>
      </c>
      <c r="O8" t="s">
        <v>105</v>
      </c>
      <c r="P8" t="s">
        <v>172</v>
      </c>
      <c r="Q8" t="s">
        <v>93</v>
      </c>
      <c r="U8" t="s">
        <v>47</v>
      </c>
      <c r="V8" t="s">
        <v>47</v>
      </c>
      <c r="AF8" t="s">
        <v>252</v>
      </c>
    </row>
    <row r="9" spans="1:32" x14ac:dyDescent="0.25">
      <c r="A9" t="s">
        <v>83</v>
      </c>
      <c r="C9" t="s">
        <v>94</v>
      </c>
      <c r="D9" t="s">
        <v>173</v>
      </c>
      <c r="E9" t="s">
        <v>173</v>
      </c>
      <c r="F9" t="s">
        <v>104</v>
      </c>
      <c r="G9" t="s">
        <v>173</v>
      </c>
      <c r="H9" t="s">
        <v>104</v>
      </c>
      <c r="I9" t="s">
        <v>173</v>
      </c>
      <c r="J9" t="s">
        <v>104</v>
      </c>
      <c r="K9" t="s">
        <v>173</v>
      </c>
      <c r="L9" t="s">
        <v>104</v>
      </c>
      <c r="M9" t="s">
        <v>162</v>
      </c>
      <c r="N9" t="s">
        <v>168</v>
      </c>
      <c r="O9" t="s">
        <v>161</v>
      </c>
      <c r="P9" t="s">
        <v>171</v>
      </c>
      <c r="U9" t="s">
        <v>216</v>
      </c>
      <c r="V9" t="s">
        <v>216</v>
      </c>
      <c r="AF9" t="s">
        <v>253</v>
      </c>
    </row>
    <row r="10" spans="1:32" x14ac:dyDescent="0.25">
      <c r="A10" t="s">
        <v>84</v>
      </c>
      <c r="D10" t="s">
        <v>174</v>
      </c>
      <c r="E10" t="s">
        <v>174</v>
      </c>
      <c r="G10" t="s">
        <v>174</v>
      </c>
      <c r="I10" t="s">
        <v>174</v>
      </c>
      <c r="K10" t="s">
        <v>174</v>
      </c>
      <c r="M10" t="s">
        <v>163</v>
      </c>
      <c r="N10" t="s">
        <v>169</v>
      </c>
      <c r="O10" t="s">
        <v>162</v>
      </c>
      <c r="P10" t="s">
        <v>169</v>
      </c>
      <c r="AF10" t="s">
        <v>256</v>
      </c>
    </row>
    <row r="11" spans="1:32" x14ac:dyDescent="0.25">
      <c r="A11" t="s">
        <v>85</v>
      </c>
      <c r="D11" t="s">
        <v>187</v>
      </c>
      <c r="E11" t="s">
        <v>187</v>
      </c>
      <c r="G11" t="s">
        <v>187</v>
      </c>
      <c r="I11" t="s">
        <v>187</v>
      </c>
      <c r="K11" t="s">
        <v>187</v>
      </c>
      <c r="N11" t="s">
        <v>170</v>
      </c>
      <c r="O11" t="s">
        <v>163</v>
      </c>
      <c r="P11" t="s">
        <v>170</v>
      </c>
      <c r="AF11" t="s">
        <v>254</v>
      </c>
    </row>
    <row r="12" spans="1:32" x14ac:dyDescent="0.25">
      <c r="A12" t="s">
        <v>176</v>
      </c>
      <c r="AF12" t="s">
        <v>255</v>
      </c>
    </row>
    <row r="13" spans="1:32" x14ac:dyDescent="0.25">
      <c r="A13" t="s">
        <v>177</v>
      </c>
    </row>
    <row r="14" spans="1:32" x14ac:dyDescent="0.25">
      <c r="A14" t="s">
        <v>178</v>
      </c>
    </row>
    <row r="15" spans="1:32" x14ac:dyDescent="0.25">
      <c r="A15" t="s">
        <v>179</v>
      </c>
    </row>
    <row r="16" spans="1:32" x14ac:dyDescent="0.25">
      <c r="A16" t="s">
        <v>180</v>
      </c>
    </row>
    <row r="17" spans="1:1" x14ac:dyDescent="0.25">
      <c r="A17" t="s">
        <v>260</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E9" sqref="E9"/>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60</v>
      </c>
    </row>
    <row r="2" spans="1:4" x14ac:dyDescent="0.25">
      <c r="A2" s="1" t="s">
        <v>6</v>
      </c>
    </row>
    <row r="3" spans="1:4" x14ac:dyDescent="0.25">
      <c r="A3" s="1" t="s">
        <v>4</v>
      </c>
      <c r="B3" s="4" t="s">
        <v>3</v>
      </c>
      <c r="C3" s="4"/>
      <c r="D3" s="1" t="s">
        <v>293</v>
      </c>
    </row>
    <row r="4" spans="1:4" x14ac:dyDescent="0.25">
      <c r="A4" t="s">
        <v>61</v>
      </c>
      <c r="B4" s="3" t="s">
        <v>201</v>
      </c>
      <c r="D4" t="s">
        <v>63</v>
      </c>
    </row>
    <row r="5" spans="1:4" x14ac:dyDescent="0.25">
      <c r="A5" t="s">
        <v>62</v>
      </c>
      <c r="B5" s="3" t="s">
        <v>215</v>
      </c>
      <c r="D5" t="s">
        <v>64</v>
      </c>
    </row>
    <row r="6" spans="1:4" x14ac:dyDescent="0.25">
      <c r="A6" t="s">
        <v>65</v>
      </c>
      <c r="B6" s="11" t="s">
        <v>77</v>
      </c>
      <c r="D6" t="s">
        <v>66</v>
      </c>
    </row>
    <row r="7" spans="1:4" x14ac:dyDescent="0.25">
      <c r="A7" t="s">
        <v>244</v>
      </c>
      <c r="B7" s="12" t="s">
        <v>245</v>
      </c>
      <c r="D7" t="s">
        <v>71</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s>
  <hyperlinks>
    <hyperlink ref="B7" r:id="rId1" xr:uid="{898E8623-670D-41D8-9FBB-876D4A802CA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375C6116-F74C-48BC-BD1C-666DEB57D471}">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A17" sqref="A17"/>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293</v>
      </c>
    </row>
    <row r="4" spans="1:6" x14ac:dyDescent="0.25">
      <c r="A4" t="s">
        <v>5</v>
      </c>
      <c r="B4" s="11" t="s">
        <v>86</v>
      </c>
      <c r="D4" t="s">
        <v>153</v>
      </c>
    </row>
    <row r="5" spans="1:6" x14ac:dyDescent="0.25">
      <c r="A5" t="s">
        <v>28</v>
      </c>
      <c r="B5" s="11" t="s">
        <v>7</v>
      </c>
      <c r="D5" t="s">
        <v>30</v>
      </c>
    </row>
    <row r="6" spans="1:6" x14ac:dyDescent="0.25">
      <c r="A6" t="s">
        <v>151</v>
      </c>
      <c r="B6" s="11" t="s">
        <v>202</v>
      </c>
      <c r="D6" t="s">
        <v>152</v>
      </c>
    </row>
    <row r="7" spans="1:6" x14ac:dyDescent="0.25">
      <c r="A7" t="s">
        <v>141</v>
      </c>
      <c r="B7" s="11" t="s">
        <v>101</v>
      </c>
      <c r="D7" t="s">
        <v>142</v>
      </c>
    </row>
    <row r="8" spans="1:6" x14ac:dyDescent="0.25">
      <c r="A8" t="s">
        <v>1</v>
      </c>
      <c r="B8" s="11" t="s">
        <v>101</v>
      </c>
      <c r="D8" t="s">
        <v>16</v>
      </c>
    </row>
    <row r="9" spans="1:6" x14ac:dyDescent="0.25">
      <c r="A9" t="s">
        <v>2</v>
      </c>
      <c r="B9" s="11" t="s">
        <v>96</v>
      </c>
      <c r="D9" t="s">
        <v>17</v>
      </c>
    </row>
    <row r="10" spans="1:6" x14ac:dyDescent="0.25">
      <c r="A10" t="s">
        <v>8</v>
      </c>
      <c r="B10" s="11" t="s">
        <v>97</v>
      </c>
      <c r="D10" t="s">
        <v>154</v>
      </c>
    </row>
    <row r="11" spans="1:6" x14ac:dyDescent="0.25">
      <c r="A11" t="s">
        <v>9</v>
      </c>
      <c r="B11" s="11" t="s">
        <v>96</v>
      </c>
      <c r="D11" t="s">
        <v>18</v>
      </c>
      <c r="F11" s="6"/>
    </row>
    <row r="12" spans="1:6" x14ac:dyDescent="0.25">
      <c r="A12" t="s">
        <v>10</v>
      </c>
      <c r="B12" s="11" t="s">
        <v>14</v>
      </c>
      <c r="D12" t="s">
        <v>19</v>
      </c>
    </row>
    <row r="13" spans="1:6" x14ac:dyDescent="0.25">
      <c r="A13" t="s">
        <v>11</v>
      </c>
      <c r="B13" s="11" t="s">
        <v>14</v>
      </c>
      <c r="D13" t="s">
        <v>20</v>
      </c>
    </row>
    <row r="14" spans="1:6" x14ac:dyDescent="0.25">
      <c r="A14" t="s">
        <v>12</v>
      </c>
      <c r="B14" s="11" t="s">
        <v>14</v>
      </c>
      <c r="D14" t="s">
        <v>21</v>
      </c>
    </row>
    <row r="15" spans="1:6" x14ac:dyDescent="0.25">
      <c r="A15" t="s">
        <v>13</v>
      </c>
      <c r="B15" s="11" t="s">
        <v>14</v>
      </c>
      <c r="D15" t="s">
        <v>22</v>
      </c>
    </row>
    <row r="16" spans="1:6" x14ac:dyDescent="0.25">
      <c r="A16" t="s">
        <v>188</v>
      </c>
      <c r="B16" s="11" t="s">
        <v>29</v>
      </c>
      <c r="D16" t="s">
        <v>157</v>
      </c>
    </row>
    <row r="17" spans="1:4" x14ac:dyDescent="0.25">
      <c r="A17" t="s">
        <v>194</v>
      </c>
      <c r="B17" s="11" t="s">
        <v>203</v>
      </c>
      <c r="D17" t="s">
        <v>23</v>
      </c>
    </row>
    <row r="18" spans="1:4" x14ac:dyDescent="0.25">
      <c r="A18" t="s">
        <v>189</v>
      </c>
      <c r="B18" s="11" t="s">
        <v>204</v>
      </c>
      <c r="D18" t="s">
        <v>24</v>
      </c>
    </row>
    <row r="19" spans="1:4" x14ac:dyDescent="0.25">
      <c r="A19" t="s">
        <v>190</v>
      </c>
      <c r="B19" s="11">
        <v>2.1</v>
      </c>
      <c r="D19" t="s">
        <v>25</v>
      </c>
    </row>
    <row r="20" spans="1:4" x14ac:dyDescent="0.25">
      <c r="A20" t="s">
        <v>191</v>
      </c>
      <c r="B20" s="11">
        <v>50</v>
      </c>
      <c r="D20" t="s">
        <v>26</v>
      </c>
    </row>
    <row r="21" spans="1:4" x14ac:dyDescent="0.25">
      <c r="A21" t="s">
        <v>192</v>
      </c>
      <c r="B21" s="11">
        <v>2.7</v>
      </c>
      <c r="D21" t="s">
        <v>27</v>
      </c>
    </row>
    <row r="22" spans="1:4" x14ac:dyDescent="0.25">
      <c r="A22" t="s">
        <v>155</v>
      </c>
      <c r="B22" s="3" t="s">
        <v>14</v>
      </c>
      <c r="D22" t="s">
        <v>156</v>
      </c>
    </row>
    <row r="23" spans="1:4" x14ac:dyDescent="0.25">
      <c r="A23" t="s">
        <v>193</v>
      </c>
      <c r="D23" t="s">
        <v>160</v>
      </c>
    </row>
    <row r="24" spans="1:4" x14ac:dyDescent="0.25">
      <c r="A24" t="s">
        <v>158</v>
      </c>
      <c r="B24" s="3" t="s">
        <v>14</v>
      </c>
      <c r="D24" t="s">
        <v>159</v>
      </c>
    </row>
    <row r="25" spans="1:4" x14ac:dyDescent="0.25">
      <c r="A25" t="s">
        <v>181</v>
      </c>
      <c r="D25" t="s">
        <v>184</v>
      </c>
    </row>
    <row r="26" spans="1:4" x14ac:dyDescent="0.25">
      <c r="A26" t="s">
        <v>182</v>
      </c>
      <c r="D26" t="s">
        <v>185</v>
      </c>
    </row>
    <row r="27" spans="1:4" x14ac:dyDescent="0.25">
      <c r="A27" t="s">
        <v>183</v>
      </c>
      <c r="D27" t="s">
        <v>186</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33276D27-3AF3-4F0C-ADA0-6FA137D23B50}">
          <x14:formula1>
            <xm:f>Input_Validation!$B$3:$B$6</xm:f>
          </x14:formula1>
          <xm:sqref>B4</xm:sqref>
        </x14:dataValidation>
        <x14:dataValidation type="list" allowBlank="1" showInputMessage="1" showErrorMessage="1" promptTitle="Chromatograph Vendor" prompt="Vendor/Manufacturer of the chromatograph used" xr:uid="{996C782A-B601-4B80-939F-9268A20C11D5}">
          <x14:formula1>
            <xm:f>Input_Validation!$C$3:$C$9</xm:f>
          </x14:formula1>
          <xm:sqref>B5</xm:sqref>
        </x14:dataValidation>
        <x14:dataValidation type="list" allowBlank="1" showInputMessage="1" showErrorMessage="1" promptTitle="Sample Solvent" prompt="Primary solvent consistuent of the sample, as injected." xr:uid="{CC659C82-18C9-4347-861A-0FB4B7009EDF}">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CD774ACB-FDAE-42E9-80EB-DC326EB39A82}">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70DEB4F9-49B1-4631-BD45-02C2ED49D889}">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06B8548-FB7F-4F10-A031-29E731FAF328}">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3B0EEF07-B814-44E6-AF5A-BDBFE4F0AE9A}">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5157439B-C44E-44B3-8C3E-5472AE3525D1}">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7B38D0D-2A1F-496A-9528-22E706B339F6}">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0A70200A-577C-4647-ABE0-478AD0B4B9E7}">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B15</xm:sqref>
        </x14:dataValidation>
        <x14:dataValidation type="list" allowBlank="1" showInputMessage="1" showErrorMessage="1" promptTitle="Analytical Column Vendor" prompt="Vendor/Manufacturer of the analytical column" xr:uid="{8A9AF21F-BB99-4DCE-94F1-1C88A4DA91BD}">
          <x14:formula1>
            <xm:f>Input_Validation!$M$3:$M$10</xm:f>
          </x14:formula1>
          <xm:sqref>B16</xm:sqref>
        </x14:dataValidation>
        <x14:dataValidation type="list" allowBlank="1" showInputMessage="1" showErrorMessage="1" promptTitle="Analytical Column Phase" prompt="Stationary phase chemistry/ligand of the chromatography column" xr:uid="{5C7835BA-7453-4007-B0BC-BC2B34130A87}">
          <x14:formula1>
            <xm:f>Input_Validation!$N$3:$N$11</xm:f>
          </x14:formula1>
          <xm:sqref>B18</xm:sqref>
        </x14:dataValidation>
        <x14:dataValidation type="list" allowBlank="1" showInputMessage="1" showErrorMessage="1" promptTitle="Guard Column Vendor" prompt="Vendor/Manufacturer of the guard column, use &quot;none&quot; if not used." xr:uid="{6A0A3D2E-A4CF-48FA-B35C-3FB79D2AABF9}">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8970B7-B85D-47D0-859B-6F0781B90F1A}">
          <x14:formula1>
            <xm:f>Input_Validation!$P$3:$P$11</xm:f>
          </x14:formula1>
          <xm:sqref>B24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G20" sqref="G20"/>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31</v>
      </c>
    </row>
    <row r="2" spans="1:4" x14ac:dyDescent="0.25">
      <c r="A2" s="1" t="s">
        <v>6</v>
      </c>
    </row>
    <row r="3" spans="1:4" x14ac:dyDescent="0.25">
      <c r="A3" s="1" t="s">
        <v>4</v>
      </c>
      <c r="B3" s="4" t="s">
        <v>3</v>
      </c>
      <c r="C3" s="4"/>
      <c r="D3" s="1" t="s">
        <v>293</v>
      </c>
    </row>
    <row r="4" spans="1:4" x14ac:dyDescent="0.25">
      <c r="A4" t="s">
        <v>32</v>
      </c>
      <c r="B4" s="11" t="s">
        <v>7</v>
      </c>
      <c r="D4" t="s">
        <v>150</v>
      </c>
    </row>
    <row r="5" spans="1:4" x14ac:dyDescent="0.25">
      <c r="A5" t="s">
        <v>148</v>
      </c>
      <c r="B5" s="11" t="s">
        <v>205</v>
      </c>
      <c r="D5" t="s">
        <v>149</v>
      </c>
    </row>
    <row r="6" spans="1:4" x14ac:dyDescent="0.25">
      <c r="A6" t="s">
        <v>33</v>
      </c>
      <c r="B6" s="11" t="s">
        <v>34</v>
      </c>
      <c r="D6" t="s">
        <v>35</v>
      </c>
    </row>
    <row r="7" spans="1:4" x14ac:dyDescent="0.25">
      <c r="A7" t="s">
        <v>36</v>
      </c>
      <c r="B7" s="11" t="s">
        <v>37</v>
      </c>
      <c r="D7" t="s">
        <v>38</v>
      </c>
    </row>
    <row r="8" spans="1:4" x14ac:dyDescent="0.25">
      <c r="A8" t="s">
        <v>294</v>
      </c>
      <c r="B8" s="11">
        <v>2500</v>
      </c>
      <c r="D8" t="s">
        <v>39</v>
      </c>
    </row>
    <row r="9" spans="1:4" x14ac:dyDescent="0.25">
      <c r="A9" t="s">
        <v>40</v>
      </c>
      <c r="B9" s="11" t="s">
        <v>41</v>
      </c>
      <c r="D9" t="s">
        <v>42</v>
      </c>
    </row>
    <row r="10" spans="1:4" x14ac:dyDescent="0.25">
      <c r="A10" t="s">
        <v>43</v>
      </c>
      <c r="B10" s="11" t="s">
        <v>44</v>
      </c>
      <c r="D10" t="s">
        <v>45</v>
      </c>
    </row>
    <row r="11" spans="1:4" x14ac:dyDescent="0.25">
      <c r="A11" t="s">
        <v>46</v>
      </c>
      <c r="B11" s="11" t="s">
        <v>47</v>
      </c>
      <c r="D11" t="s">
        <v>48</v>
      </c>
    </row>
    <row r="12" spans="1:4" x14ac:dyDescent="0.25">
      <c r="A12" t="s">
        <v>195</v>
      </c>
      <c r="B12" s="11" t="s">
        <v>49</v>
      </c>
      <c r="D12" t="s">
        <v>50</v>
      </c>
    </row>
    <row r="13" spans="1:4" x14ac:dyDescent="0.25">
      <c r="A13" t="s">
        <v>295</v>
      </c>
      <c r="B13" s="11">
        <v>30</v>
      </c>
      <c r="D13" t="s">
        <v>51</v>
      </c>
    </row>
    <row r="14" spans="1:4" x14ac:dyDescent="0.25">
      <c r="A14" t="s">
        <v>197</v>
      </c>
      <c r="B14" s="11" t="s">
        <v>136</v>
      </c>
      <c r="D14" t="s">
        <v>15</v>
      </c>
    </row>
    <row r="15" spans="1:4" x14ac:dyDescent="0.25">
      <c r="A15" t="s">
        <v>198</v>
      </c>
      <c r="B15" s="11" t="s">
        <v>134</v>
      </c>
      <c r="D15" t="s">
        <v>52</v>
      </c>
    </row>
    <row r="16" spans="1:4" x14ac:dyDescent="0.25">
      <c r="A16" t="s">
        <v>67</v>
      </c>
      <c r="B16" s="11" t="s">
        <v>131</v>
      </c>
      <c r="D16" t="s">
        <v>68</v>
      </c>
    </row>
    <row r="17" spans="1:4" x14ac:dyDescent="0.25">
      <c r="A17" t="s">
        <v>69</v>
      </c>
      <c r="B17" s="11">
        <v>0.7</v>
      </c>
      <c r="D17" t="s">
        <v>70</v>
      </c>
    </row>
    <row r="18" spans="1:4" x14ac:dyDescent="0.25">
      <c r="A18" t="s">
        <v>199</v>
      </c>
      <c r="B18" s="11">
        <v>5</v>
      </c>
      <c r="D18" t="s">
        <v>143</v>
      </c>
    </row>
    <row r="19" spans="1:4" x14ac:dyDescent="0.25">
      <c r="A19" t="s">
        <v>144</v>
      </c>
      <c r="B19" s="11">
        <v>70000</v>
      </c>
      <c r="D19" t="s">
        <v>146</v>
      </c>
    </row>
    <row r="20" spans="1:4" x14ac:dyDescent="0.25">
      <c r="A20" t="s">
        <v>145</v>
      </c>
      <c r="B20" s="11">
        <v>17500</v>
      </c>
      <c r="D20" t="s">
        <v>147</v>
      </c>
    </row>
  </sheetData>
  <sheetProtection sheet="1" objects="1" scenarios="1"/>
  <protectedRanges>
    <protectedRange sqref="B4:B20" name="mass spectrometry"/>
  </protectedRanges>
  <dataValidations count="24">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type="decimal"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formula1>0</formula1>
      <formula2>1000000</formula2>
    </dataValidation>
    <dataValidation type="decimal" allowBlank="1" showInputMessage="1" showErrorMessage="1" promptTitle="Ionization Voltage/Current Value" prompt="Voltage/current applied for ionization, use below cell to indicate units." sqref="B8" xr:uid="{5951695B-972A-4779-9A55-E6458BE1D490}">
      <formula1>0</formula1>
      <formula2>1000000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47ECBEA3-822F-4B73-9A4D-32E62B61BBF0}">
          <x14:formula1>
            <xm:f>Input_Validation!$Q$3:$Q$8</xm:f>
          </x14:formula1>
          <xm:sqref>B4</xm:sqref>
        </x14:dataValidation>
        <x14:dataValidation type="list" allowBlank="1" showInputMessage="1" showErrorMessage="1" promptTitle="Ionization Mode" prompt="Mode of ionization of the mass spectrometer." xr:uid="{7012CBBC-E83E-41F7-A276-FCB7F574F3E3}">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E686BFB0-B819-4038-B9B9-B38CF32A2A80}">
          <x14:formula1>
            <xm:f>Input_Validation!$S$3:$S$4</xm:f>
          </x14:formula1>
          <xm:sqref>B7</xm:sqref>
        </x14:dataValidation>
        <x14:dataValidation type="list" allowBlank="1" showInputMessage="1" showErrorMessage="1" promptTitle="Ionization Voltage/Current Units" prompt="Units for the above-noted ionization voltage or current." xr:uid="{E5F6DADF-2EEA-40D4-96B6-3B1213971550}">
          <x14:formula1>
            <xm:f>Input_Validation!$T$3:$T$7</xm:f>
          </x14:formula1>
          <xm:sqref>B9</xm:sqref>
        </x14:dataValidation>
        <x14:dataValidation type="list" allowBlank="1" showInputMessage="1" showErrorMessage="1" promptTitle="First Mass Analyzer" prompt="First mass analyzer in the mass spectrometer." xr:uid="{6F78B77E-9123-478F-A600-E338A7666D0A}">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A0ED6EDA-3303-48A3-9EF2-DF1E1338D692}">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2E5997F-A9CD-4813-B52C-C44067ADB3DC}">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4573FA57-E721-4C25-AFAA-7B3092787386}">
          <x14:formula1>
            <xm:f>Input_Validation!$X$3:$X$4</xm:f>
          </x14:formula1>
          <xm:sqref>B14</xm:sqref>
        </x14:dataValidation>
        <x14:dataValidation type="list" allowBlank="1" showInputMessage="1" showErrorMessage="1" promptTitle="Fragmentation Energy Units" prompt="Units of the fragmentation/collision energy value above." xr:uid="{BBB994BB-E18F-4DB3-AD79-95271E01539B}">
          <x14:formula1>
            <xm:f>Input_Validation!$Y$3:$Y$4</xm:f>
          </x14:formula1>
          <xm:sqref>B15</xm:sqref>
        </x14:dataValidation>
        <x14:dataValidation type="list" allowBlank="1" showInputMessage="1" showErrorMessage="1" promptTitle="MS2 Experiment" prompt="Type of fragmentation/MS2 experiment." xr:uid="{FC39B8DB-DA91-4F3F-AB2A-7A494BEC5CEB}">
          <x14:formula1>
            <xm:f>Input_Validation!$Z$3:$Z$6</xm:f>
          </x14:formula1>
          <xm:sqref>B16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H7" sqref="H7"/>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59</v>
      </c>
    </row>
    <row r="2" spans="1:4" x14ac:dyDescent="0.25">
      <c r="A2" s="1" t="s">
        <v>6</v>
      </c>
    </row>
    <row r="3" spans="1:4" x14ac:dyDescent="0.25">
      <c r="A3" s="1" t="s">
        <v>4</v>
      </c>
      <c r="B3" s="4" t="s">
        <v>3</v>
      </c>
      <c r="C3" s="4"/>
      <c r="D3" s="1" t="s">
        <v>293</v>
      </c>
    </row>
    <row r="4" spans="1:4" x14ac:dyDescent="0.25">
      <c r="A4" t="s">
        <v>115</v>
      </c>
      <c r="B4" s="11" t="b">
        <v>1</v>
      </c>
      <c r="D4" t="s">
        <v>53</v>
      </c>
    </row>
    <row r="5" spans="1:4" x14ac:dyDescent="0.25">
      <c r="A5" t="s">
        <v>54</v>
      </c>
      <c r="B5" s="11" t="b">
        <v>1</v>
      </c>
      <c r="D5" t="s">
        <v>58</v>
      </c>
    </row>
    <row r="6" spans="1:4" x14ac:dyDescent="0.25">
      <c r="A6" t="s">
        <v>55</v>
      </c>
      <c r="B6" s="11" t="b">
        <v>1</v>
      </c>
      <c r="D6" t="s">
        <v>58</v>
      </c>
    </row>
    <row r="7" spans="1:4" x14ac:dyDescent="0.25">
      <c r="A7" t="s">
        <v>56</v>
      </c>
      <c r="B7" s="11" t="b">
        <v>0</v>
      </c>
      <c r="D7" t="s">
        <v>58</v>
      </c>
    </row>
    <row r="8" spans="1:4" x14ac:dyDescent="0.25">
      <c r="A8" t="s">
        <v>57</v>
      </c>
      <c r="B8" s="11" t="b">
        <v>0</v>
      </c>
      <c r="D8" t="s">
        <v>58</v>
      </c>
    </row>
  </sheetData>
  <sheetProtection sheet="1" objects="1" scenarios="1"/>
  <protectedRanges>
    <protectedRange sqref="B4:B8" name="qc method"/>
  </protectedRanges>
  <dataValidations count="5">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C41BBC01-2305-40A5-BFD4-23F1CFC04876}">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58F5D5A3-44F3-4B8B-B34C-C19A6819585E}">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DEA0835D-0894-4E98-8871-398EA0597B26}">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9946E300-EFD3-4B71-B5E0-1F94AA1681CE}">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A3DA08E-7BF9-4C8D-AFC2-62151558F565}">
          <x14:formula1>
            <xm:f>Input_Validation!$AE$3:$AE$4</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C16" sqref="C16"/>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31</v>
      </c>
    </row>
    <row r="2" spans="1:8" x14ac:dyDescent="0.25">
      <c r="A2" s="1" t="s">
        <v>6</v>
      </c>
    </row>
    <row r="3" spans="1:8" x14ac:dyDescent="0.25">
      <c r="A3" s="5" t="s">
        <v>72</v>
      </c>
      <c r="B3" s="9" t="s">
        <v>200</v>
      </c>
      <c r="C3" s="5" t="s">
        <v>246</v>
      </c>
      <c r="D3" s="5" t="s">
        <v>73</v>
      </c>
      <c r="E3" s="5" t="s">
        <v>74</v>
      </c>
      <c r="F3" s="5" t="s">
        <v>75</v>
      </c>
      <c r="G3" s="5" t="s">
        <v>76</v>
      </c>
      <c r="H3" s="5" t="s">
        <v>257</v>
      </c>
    </row>
    <row r="4" spans="1:8" x14ac:dyDescent="0.25">
      <c r="A4" s="13" t="s">
        <v>206</v>
      </c>
      <c r="B4" s="13">
        <v>2646</v>
      </c>
      <c r="C4" s="13" t="s">
        <v>256</v>
      </c>
      <c r="D4" s="13">
        <v>262.976</v>
      </c>
      <c r="E4" s="13">
        <v>8.6</v>
      </c>
      <c r="F4" s="13">
        <v>8.4</v>
      </c>
      <c r="G4" s="13">
        <v>9.1</v>
      </c>
      <c r="H4" s="13" t="b">
        <v>1</v>
      </c>
    </row>
    <row r="5" spans="1:8" x14ac:dyDescent="0.25">
      <c r="A5" s="13" t="s">
        <v>207</v>
      </c>
      <c r="B5" s="13">
        <v>2643</v>
      </c>
      <c r="C5" s="13" t="s">
        <v>256</v>
      </c>
      <c r="D5" s="13">
        <v>312.97300000000001</v>
      </c>
      <c r="E5" s="13">
        <v>10.8</v>
      </c>
      <c r="F5" s="13">
        <v>10.5</v>
      </c>
      <c r="G5" s="13">
        <v>11.1</v>
      </c>
      <c r="H5" s="13" t="b">
        <v>1</v>
      </c>
    </row>
    <row r="6" spans="1:8" x14ac:dyDescent="0.25">
      <c r="A6" s="13" t="s">
        <v>208</v>
      </c>
      <c r="B6" s="13">
        <v>2640</v>
      </c>
      <c r="C6" s="13" t="s">
        <v>256</v>
      </c>
      <c r="D6" s="13">
        <v>362.9699</v>
      </c>
      <c r="E6" s="13">
        <v>12.09</v>
      </c>
      <c r="F6" s="13">
        <v>11.9</v>
      </c>
      <c r="G6" s="13">
        <v>12.4</v>
      </c>
      <c r="H6" s="13" t="b">
        <v>1</v>
      </c>
    </row>
    <row r="7" spans="1:8" x14ac:dyDescent="0.25">
      <c r="A7" s="13" t="s">
        <v>209</v>
      </c>
      <c r="B7" s="13">
        <v>2637</v>
      </c>
      <c r="C7" s="13" t="s">
        <v>256</v>
      </c>
      <c r="D7" s="13">
        <v>412.9665</v>
      </c>
      <c r="E7" s="13">
        <v>13.05</v>
      </c>
      <c r="F7" s="13">
        <v>12.8</v>
      </c>
      <c r="G7" s="13">
        <v>13.4</v>
      </c>
      <c r="H7" s="13" t="b">
        <v>1</v>
      </c>
    </row>
    <row r="8" spans="1:8" x14ac:dyDescent="0.25">
      <c r="A8" s="13" t="s">
        <v>210</v>
      </c>
      <c r="B8" s="13">
        <v>2635</v>
      </c>
      <c r="C8" s="13" t="s">
        <v>256</v>
      </c>
      <c r="D8" s="13">
        <v>462.96350000000001</v>
      </c>
      <c r="E8" s="13">
        <v>13.8</v>
      </c>
      <c r="F8" s="13">
        <v>13.6</v>
      </c>
      <c r="G8" s="13">
        <v>14.1</v>
      </c>
      <c r="H8" s="13" t="b">
        <v>1</v>
      </c>
    </row>
    <row r="9" spans="1:8" x14ac:dyDescent="0.25">
      <c r="A9" s="13" t="s">
        <v>211</v>
      </c>
      <c r="B9" s="13">
        <v>2632</v>
      </c>
      <c r="C9" s="13" t="s">
        <v>256</v>
      </c>
      <c r="D9" s="13">
        <v>512.96019999999999</v>
      </c>
      <c r="E9" s="13">
        <v>14.5</v>
      </c>
      <c r="F9" s="13">
        <v>14.3</v>
      </c>
      <c r="G9" s="13">
        <v>14.8</v>
      </c>
      <c r="H9" s="13" t="b">
        <v>1</v>
      </c>
    </row>
    <row r="10" spans="1:8" x14ac:dyDescent="0.25">
      <c r="A10" s="13" t="s">
        <v>213</v>
      </c>
      <c r="B10" s="13">
        <v>2630</v>
      </c>
      <c r="C10" s="13" t="s">
        <v>256</v>
      </c>
      <c r="D10" s="13">
        <v>562.95730000000003</v>
      </c>
      <c r="E10" s="13">
        <v>15.1</v>
      </c>
      <c r="F10" s="13">
        <v>14.9</v>
      </c>
      <c r="G10" s="13">
        <v>15.4</v>
      </c>
      <c r="H10" s="13" t="b">
        <v>1</v>
      </c>
    </row>
    <row r="11" spans="1:8" x14ac:dyDescent="0.25">
      <c r="A11" s="13" t="s">
        <v>212</v>
      </c>
      <c r="B11" s="13">
        <v>2629</v>
      </c>
      <c r="C11" s="13" t="s">
        <v>256</v>
      </c>
      <c r="D11" s="13">
        <v>612.95399999999995</v>
      </c>
      <c r="E11" s="13">
        <v>15.6</v>
      </c>
      <c r="F11" s="13">
        <v>15.4</v>
      </c>
      <c r="G11" s="13">
        <v>15.8</v>
      </c>
      <c r="H11" s="13" t="b">
        <v>1</v>
      </c>
    </row>
    <row r="12" spans="1:8" x14ac:dyDescent="0.25">
      <c r="A12" s="13" t="s">
        <v>214</v>
      </c>
      <c r="B12" s="13">
        <v>2628</v>
      </c>
      <c r="C12" s="13" t="s">
        <v>256</v>
      </c>
      <c r="D12" s="13">
        <v>662.95159999999998</v>
      </c>
      <c r="E12" s="13">
        <v>16</v>
      </c>
      <c r="F12" s="13">
        <v>15.9</v>
      </c>
      <c r="G12" s="13">
        <v>16.2</v>
      </c>
      <c r="H12" s="13" t="b">
        <v>1</v>
      </c>
    </row>
    <row r="13" spans="1:8" x14ac:dyDescent="0.25">
      <c r="A13" s="13" t="s">
        <v>258</v>
      </c>
      <c r="B13" s="13">
        <v>2627</v>
      </c>
      <c r="C13" s="13" t="s">
        <v>256</v>
      </c>
      <c r="D13" s="13">
        <v>712.94870000000003</v>
      </c>
      <c r="E13" s="13">
        <v>16.3</v>
      </c>
      <c r="F13" s="13">
        <v>16.2</v>
      </c>
      <c r="G13" s="13">
        <v>16.600000000000001</v>
      </c>
      <c r="H13" s="13" t="b">
        <v>1</v>
      </c>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Input_Validation!$AF$3:$AF$12</xm:f>
          </x14:formula1>
          <xm:sqref>C4:C1048576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73E30-3F5C-41E6-8609-C3D04C1A1535}">
  <sheetPr codeName="Sheet9"/>
  <dimension ref="A1:E3"/>
  <sheetViews>
    <sheetView workbookViewId="0">
      <selection activeCell="F3" sqref="F3"/>
    </sheetView>
  </sheetViews>
  <sheetFormatPr defaultRowHeight="15" x14ac:dyDescent="0.25"/>
  <cols>
    <col min="1" max="5" width="27.7109375" customWidth="1"/>
  </cols>
  <sheetData>
    <row r="1" spans="1:5" ht="18.75" x14ac:dyDescent="0.3">
      <c r="A1" s="2" t="s">
        <v>222</v>
      </c>
    </row>
    <row r="2" spans="1:5" x14ac:dyDescent="0.25">
      <c r="A2" s="1" t="s">
        <v>6</v>
      </c>
    </row>
    <row r="3" spans="1:5" x14ac:dyDescent="0.25">
      <c r="A3" s="1" t="s">
        <v>217</v>
      </c>
      <c r="B3" s="1" t="s">
        <v>218</v>
      </c>
      <c r="C3" s="1" t="s">
        <v>219</v>
      </c>
      <c r="D3" s="1" t="s">
        <v>220</v>
      </c>
      <c r="E3" s="1" t="s">
        <v>221</v>
      </c>
    </row>
  </sheetData>
  <dataValidations count="5">
    <dataValidation allowBlank="1" showInputMessage="1" showErrorMessage="1" promptTitle="mz" prompt="Measured m/z of the fragment to be annotated" sqref="A3" xr:uid="{72AAB8B1-3F83-455F-8D13-7A70C55BF504}"/>
    <dataValidation allowBlank="1" showInputMessage="1" showErrorMessage="1" promptTitle="Elemental Formula" prompt="The proposed elemental formula for the specific fragment" sqref="B3" xr:uid="{D7A2E41B-0ABC-4417-ADD5-409956FC0D5B}"/>
    <dataValidation allowBlank="1" showInputMessage="1" showErrorMessage="1" promptTitle="SMILES" prompt="The proposed fragment structure (in SMILES notation) for the specific fragment, can be empty" sqref="C3" xr:uid="{DED9A0D0-1646-4745-B6B8-55F526595BCD}"/>
    <dataValidation allowBlank="1" showInputMessage="1" showErrorMessage="1" promptTitle="Radical" prompt="Does the proposed fragment structure contain a radical electron (TRUE, FALSE, UNKNOWN)" sqref="D3" xr:uid="{9555C802-F1D4-4BD9-AC5B-E21E79AD0809}"/>
    <dataValidation allowBlank="1" showInputMessage="1" showErrorMessage="1" promptTitle="Citation" prompt="Reference or other citation (DOI or website) for the evidence of the fragment identification. Enter USER if it is based on user interpretation only." sqref="E3" xr:uid="{A98701DE-EC2E-4C6B-95DA-1F4A5882F454}"/>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8C5A-8800-4947-BF2B-F2D386996657}">
  <sheetPr codeName="Sheet10"/>
  <dimension ref="A1:E5"/>
  <sheetViews>
    <sheetView workbookViewId="0">
      <selection activeCell="A6" sqref="A6"/>
    </sheetView>
  </sheetViews>
  <sheetFormatPr defaultRowHeight="15" x14ac:dyDescent="0.25"/>
  <cols>
    <col min="1" max="3" width="27.7109375" customWidth="1"/>
    <col min="4" max="4" width="33.42578125" bestFit="1" customWidth="1"/>
    <col min="5" max="5" width="27.7109375" customWidth="1"/>
  </cols>
  <sheetData>
    <row r="1" spans="1:5" ht="18.75" x14ac:dyDescent="0.3">
      <c r="A1" s="2" t="s">
        <v>223</v>
      </c>
    </row>
    <row r="2" spans="1:5" x14ac:dyDescent="0.25">
      <c r="A2" s="1" t="s">
        <v>6</v>
      </c>
    </row>
    <row r="3" spans="1:5" x14ac:dyDescent="0.25">
      <c r="A3" s="1" t="s">
        <v>217</v>
      </c>
      <c r="B3" s="1" t="s">
        <v>218</v>
      </c>
      <c r="C3" s="1" t="s">
        <v>219</v>
      </c>
      <c r="D3" s="1" t="s">
        <v>220</v>
      </c>
      <c r="E3" s="1" t="s">
        <v>221</v>
      </c>
    </row>
    <row r="4" spans="1:5" x14ac:dyDescent="0.25">
      <c r="A4">
        <v>118.99120000000001</v>
      </c>
      <c r="B4" t="s">
        <v>234</v>
      </c>
      <c r="C4" t="s">
        <v>235</v>
      </c>
      <c r="D4" t="b">
        <v>0</v>
      </c>
      <c r="E4" t="s">
        <v>233</v>
      </c>
    </row>
    <row r="5" spans="1:5" x14ac:dyDescent="0.25">
      <c r="A5">
        <v>268.9828</v>
      </c>
      <c r="B5" t="s">
        <v>236</v>
      </c>
      <c r="C5" t="s">
        <v>237</v>
      </c>
      <c r="D5" t="b">
        <v>0</v>
      </c>
      <c r="E5" t="s">
        <v>233</v>
      </c>
    </row>
  </sheetData>
  <dataValidations count="5">
    <dataValidation allowBlank="1" showInputMessage="1" showErrorMessage="1" promptTitle="mz" prompt="Measured m/z of the fragment to be annotated" sqref="A3" xr:uid="{97E6C6FA-0040-41FF-B549-919211CCF76C}"/>
    <dataValidation allowBlank="1" showInputMessage="1" showErrorMessage="1" promptTitle="Elemental Formula" prompt="The proposed elemental formula for the specific fragment" sqref="B3" xr:uid="{71F768EB-DACD-4112-94C3-41643C676E8D}"/>
    <dataValidation allowBlank="1" showInputMessage="1" showErrorMessage="1" promptTitle="SMILES" prompt="The proposed fragment structure (in SMILES notation) for the specific fragment, can be empty" sqref="C3" xr:uid="{509D0422-DCCB-4D5D-9679-D68E6EE582FF}"/>
    <dataValidation allowBlank="1" showInputMessage="1" showErrorMessage="1" promptTitle="Radical" prompt="Does the proposed fragment structure contain a radical electron (TRUE, FALSE, UNKNOWN)" sqref="D3" xr:uid="{FF50DDC7-CDA9-454D-90C0-E3D46E218287}"/>
    <dataValidation allowBlank="1" showInputMessage="1" showErrorMessage="1" promptTitle="Citation" prompt="Reference or other citation (DOI or website) for the evidence of the fragment identification. Enter USER if it is based on user interpretation only." sqref="E3" xr:uid="{646B8852-7F01-4C1F-AE6D-B1CD2C253398}"/>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EE6AC-1CD2-4943-BD2D-76141526D20F}">
  <sheetPr codeName="Sheet11"/>
  <dimension ref="A1:E6"/>
  <sheetViews>
    <sheetView workbookViewId="0">
      <selection activeCell="A6" sqref="A6"/>
    </sheetView>
  </sheetViews>
  <sheetFormatPr defaultRowHeight="15" x14ac:dyDescent="0.25"/>
  <cols>
    <col min="1" max="3" width="27.7109375" customWidth="1"/>
    <col min="4" max="4" width="39.7109375" bestFit="1" customWidth="1"/>
    <col min="5" max="5" width="27.7109375" customWidth="1"/>
  </cols>
  <sheetData>
    <row r="1" spans="1:5" ht="18.75" x14ac:dyDescent="0.3">
      <c r="A1" s="2" t="s">
        <v>224</v>
      </c>
    </row>
    <row r="2" spans="1:5" x14ac:dyDescent="0.25">
      <c r="A2" s="1" t="s">
        <v>6</v>
      </c>
    </row>
    <row r="3" spans="1:5" x14ac:dyDescent="0.25">
      <c r="A3" s="1" t="s">
        <v>217</v>
      </c>
      <c r="B3" s="1" t="s">
        <v>218</v>
      </c>
      <c r="C3" s="1" t="s">
        <v>219</v>
      </c>
      <c r="D3" s="1" t="s">
        <v>220</v>
      </c>
      <c r="E3" s="1" t="s">
        <v>221</v>
      </c>
    </row>
    <row r="4" spans="1:5" x14ac:dyDescent="0.25">
      <c r="A4">
        <v>118.99120000000001</v>
      </c>
      <c r="B4" t="s">
        <v>234</v>
      </c>
      <c r="C4" t="s">
        <v>235</v>
      </c>
      <c r="D4" t="b">
        <v>0</v>
      </c>
      <c r="E4" t="s">
        <v>233</v>
      </c>
    </row>
    <row r="5" spans="1:5" x14ac:dyDescent="0.25">
      <c r="A5">
        <v>168.98830000000001</v>
      </c>
      <c r="B5" t="s">
        <v>238</v>
      </c>
      <c r="C5" t="s">
        <v>239</v>
      </c>
      <c r="D5" t="b">
        <v>0</v>
      </c>
      <c r="E5" t="s">
        <v>233</v>
      </c>
    </row>
    <row r="6" spans="1:5" x14ac:dyDescent="0.25">
      <c r="A6">
        <v>318.9796</v>
      </c>
      <c r="B6" t="s">
        <v>240</v>
      </c>
      <c r="C6" t="s">
        <v>241</v>
      </c>
      <c r="D6" t="b">
        <v>0</v>
      </c>
      <c r="E6" t="s">
        <v>233</v>
      </c>
    </row>
  </sheetData>
  <dataValidations count="5">
    <dataValidation allowBlank="1" showInputMessage="1" showErrorMessage="1" promptTitle="mz" prompt="Measured m/z of the fragment to be annotated" sqref="A3" xr:uid="{E5DD9694-19B6-4EC0-BCD5-57BE791199DD}"/>
    <dataValidation allowBlank="1" showInputMessage="1" showErrorMessage="1" promptTitle="Elemental Formula" prompt="The proposed elemental formula for the specific fragment" sqref="B3" xr:uid="{CF66EED0-0D3B-4333-BF22-9AD0205E8D05}"/>
    <dataValidation allowBlank="1" showInputMessage="1" showErrorMessage="1" promptTitle="SMILES" prompt="The proposed fragment structure (in SMILES notation) for the specific fragment, can be empty" sqref="C3" xr:uid="{55B5B680-91C4-4CDF-80FF-FB27B9AD8E18}"/>
    <dataValidation allowBlank="1" showInputMessage="1" showErrorMessage="1" promptTitle="Radical" prompt="Does the proposed fragment structure contain a radical electron (TRUE, FALSE, UNKNOWN)" sqref="D3" xr:uid="{39F18CE3-8117-409D-BB28-FAD8A068B213}"/>
    <dataValidation allowBlank="1" showInputMessage="1" showErrorMessage="1" promptTitle="Citation" prompt="Reference or other citation (DOI or website) for the evidence of the fragment identification. Enter USER if it is based on user interpretation only." sqref="E3" xr:uid="{EB3244D9-B227-4CEC-ADBF-21E8600FF5E2}"/>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90F3-0768-45A3-9B72-BA666C49F88E}">
  <sheetPr codeName="Sheet12"/>
  <dimension ref="A1:E7"/>
  <sheetViews>
    <sheetView workbookViewId="0">
      <selection activeCell="C6" sqref="C6"/>
    </sheetView>
  </sheetViews>
  <sheetFormatPr defaultRowHeight="15" x14ac:dyDescent="0.25"/>
  <cols>
    <col min="1" max="5" width="27.7109375" customWidth="1"/>
  </cols>
  <sheetData>
    <row r="1" spans="1:5" ht="18.75" x14ac:dyDescent="0.3">
      <c r="A1" s="2" t="s">
        <v>225</v>
      </c>
    </row>
    <row r="2" spans="1:5" x14ac:dyDescent="0.25">
      <c r="A2" s="1" t="s">
        <v>6</v>
      </c>
    </row>
    <row r="3" spans="1:5" x14ac:dyDescent="0.25">
      <c r="A3" s="1" t="s">
        <v>217</v>
      </c>
      <c r="B3" s="1" t="s">
        <v>218</v>
      </c>
      <c r="C3" s="1" t="s">
        <v>219</v>
      </c>
      <c r="D3" s="1" t="s">
        <v>220</v>
      </c>
      <c r="E3" s="1" t="s">
        <v>221</v>
      </c>
    </row>
    <row r="4" spans="1:5" x14ac:dyDescent="0.25">
      <c r="A4">
        <v>118.9911</v>
      </c>
      <c r="B4" t="s">
        <v>234</v>
      </c>
      <c r="C4" t="s">
        <v>235</v>
      </c>
      <c r="D4" t="b">
        <v>0</v>
      </c>
      <c r="E4" t="s">
        <v>233</v>
      </c>
    </row>
    <row r="5" spans="1:5" x14ac:dyDescent="0.25">
      <c r="A5">
        <v>168.9881</v>
      </c>
      <c r="B5" t="s">
        <v>238</v>
      </c>
      <c r="C5" t="s">
        <v>239</v>
      </c>
      <c r="D5" t="b">
        <v>0</v>
      </c>
      <c r="E5" t="s">
        <v>233</v>
      </c>
    </row>
    <row r="6" spans="1:5" x14ac:dyDescent="0.25">
      <c r="A6">
        <v>218.9855</v>
      </c>
      <c r="B6" t="s">
        <v>231</v>
      </c>
      <c r="C6" t="s">
        <v>232</v>
      </c>
      <c r="D6" t="b">
        <v>0</v>
      </c>
      <c r="E6" t="s">
        <v>233</v>
      </c>
    </row>
    <row r="7" spans="1:5" x14ac:dyDescent="0.25">
      <c r="A7">
        <v>368.97559999999999</v>
      </c>
      <c r="B7" t="s">
        <v>242</v>
      </c>
      <c r="C7" t="s">
        <v>243</v>
      </c>
      <c r="D7" t="b">
        <v>0</v>
      </c>
      <c r="E7" t="s">
        <v>233</v>
      </c>
    </row>
  </sheetData>
  <dataValidations count="5">
    <dataValidation allowBlank="1" showInputMessage="1" showErrorMessage="1" promptTitle="mz" prompt="Measured m/z of the fragment to be annotated" sqref="A3" xr:uid="{A961C1CB-66E4-4B3F-8499-C8A531263880}"/>
    <dataValidation allowBlank="1" showInputMessage="1" showErrorMessage="1" promptTitle="Elemental Formula" prompt="The proposed elemental formula for the specific fragment" sqref="B3" xr:uid="{3273D71A-676E-4B57-9CF6-F36ABD6EA3FA}"/>
    <dataValidation allowBlank="1" showInputMessage="1" showErrorMessage="1" promptTitle="SMILES" prompt="The proposed fragment structure (in SMILES notation) for the specific fragment, can be empty" sqref="C3" xr:uid="{C85134AC-093F-4428-AAB7-750A6A30DEA2}"/>
    <dataValidation allowBlank="1" showInputMessage="1" showErrorMessage="1" promptTitle="Radical" prompt="Does the proposed fragment structure contain a radical electron (TRUE, FALSE, UNKNOWN)" sqref="D3" xr:uid="{7FBBAEFB-489D-49CD-87A2-9434E69C823C}"/>
    <dataValidation allowBlank="1" showInputMessage="1" showErrorMessage="1" promptTitle="Citation" prompt="Reference or other citation (DOI or website) for the evidence of the fragment identification. Enter USER if it is based on user interpretation only." sqref="E3" xr:uid="{8B5353A5-5895-4070-90FD-348C9463312D}"/>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4C0CC-1BA6-4848-A64E-A6BEC7B897E3}">
  <sheetPr codeName="Sheet13"/>
  <dimension ref="A1:E7"/>
  <sheetViews>
    <sheetView workbookViewId="0">
      <selection activeCell="B4" sqref="B4:E7"/>
    </sheetView>
  </sheetViews>
  <sheetFormatPr defaultRowHeight="15" x14ac:dyDescent="0.25"/>
  <cols>
    <col min="1" max="5" width="27.7109375" customWidth="1"/>
  </cols>
  <sheetData>
    <row r="1" spans="1:5" ht="18.75" x14ac:dyDescent="0.3">
      <c r="A1" s="2" t="s">
        <v>226</v>
      </c>
    </row>
    <row r="2" spans="1:5" x14ac:dyDescent="0.25">
      <c r="A2" s="1" t="s">
        <v>6</v>
      </c>
    </row>
    <row r="3" spans="1:5" x14ac:dyDescent="0.25">
      <c r="A3" s="1" t="s">
        <v>217</v>
      </c>
      <c r="B3" s="1" t="s">
        <v>218</v>
      </c>
      <c r="C3" s="1" t="s">
        <v>219</v>
      </c>
      <c r="D3" s="1" t="s">
        <v>220</v>
      </c>
      <c r="E3" s="1" t="s">
        <v>221</v>
      </c>
    </row>
    <row r="4" spans="1:5" x14ac:dyDescent="0.25">
      <c r="A4">
        <v>118.9911</v>
      </c>
      <c r="B4" t="s">
        <v>234</v>
      </c>
      <c r="C4" t="s">
        <v>235</v>
      </c>
      <c r="D4" t="b">
        <v>0</v>
      </c>
      <c r="E4" t="s">
        <v>233</v>
      </c>
    </row>
    <row r="5" spans="1:5" x14ac:dyDescent="0.25">
      <c r="A5">
        <v>168.98820000000001</v>
      </c>
      <c r="B5" t="s">
        <v>238</v>
      </c>
      <c r="C5" t="s">
        <v>239</v>
      </c>
      <c r="D5" t="b">
        <v>0</v>
      </c>
      <c r="E5" t="s">
        <v>233</v>
      </c>
    </row>
    <row r="6" spans="1:5" x14ac:dyDescent="0.25">
      <c r="A6">
        <v>218.98560000000001</v>
      </c>
      <c r="B6" t="s">
        <v>231</v>
      </c>
      <c r="C6" t="s">
        <v>232</v>
      </c>
      <c r="D6" t="b">
        <v>0</v>
      </c>
      <c r="E6" t="s">
        <v>233</v>
      </c>
    </row>
    <row r="7" spans="1:5" x14ac:dyDescent="0.25">
      <c r="A7">
        <v>268.983</v>
      </c>
      <c r="B7" t="s">
        <v>236</v>
      </c>
      <c r="C7" t="s">
        <v>237</v>
      </c>
      <c r="D7" t="b">
        <v>0</v>
      </c>
      <c r="E7" t="s">
        <v>233</v>
      </c>
    </row>
  </sheetData>
  <dataValidations count="5">
    <dataValidation allowBlank="1" showInputMessage="1" showErrorMessage="1" promptTitle="mz" prompt="Measured m/z of the fragment to be annotated" sqref="A3" xr:uid="{A9FE7008-820D-4796-933D-41A0DD8D7BFE}"/>
    <dataValidation allowBlank="1" showInputMessage="1" showErrorMessage="1" promptTitle="Elemental Formula" prompt="The proposed elemental formula for the specific fragment" sqref="B3" xr:uid="{97707984-6582-47E2-9D1F-4423ED29FD55}"/>
    <dataValidation allowBlank="1" showInputMessage="1" showErrorMessage="1" promptTitle="SMILES" prompt="The proposed fragment structure (in SMILES notation) for the specific fragment, can be empty" sqref="C3" xr:uid="{DFFE5C95-D28B-4E87-A343-246968F39F94}"/>
    <dataValidation allowBlank="1" showInputMessage="1" showErrorMessage="1" promptTitle="Radical" prompt="Does the proposed fragment structure contain a radical electron (TRUE, FALSE, UNKNOWN)" sqref="D3" xr:uid="{C1349BE8-091D-4837-BF04-034AF6B98FB3}"/>
    <dataValidation allowBlank="1" showInputMessage="1" showErrorMessage="1" promptTitle="Citation" prompt="Reference or other citation (DOI or website) for the evidence of the fragment identification. Enter USER if it is based on user interpretation only." sqref="E3" xr:uid="{5C6B675E-A7DD-402B-9CD6-4C39F8411095}"/>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3EF83-3ED8-4312-B009-FEBED7FC96B3}">
  <sheetPr codeName="Sheet14"/>
  <dimension ref="A1:E7"/>
  <sheetViews>
    <sheetView workbookViewId="0">
      <selection activeCell="B4" sqref="B4:E7"/>
    </sheetView>
  </sheetViews>
  <sheetFormatPr defaultRowHeight="15" x14ac:dyDescent="0.25"/>
  <cols>
    <col min="1" max="5" width="27.7109375" customWidth="1"/>
  </cols>
  <sheetData>
    <row r="1" spans="1:5" ht="18.75" x14ac:dyDescent="0.3">
      <c r="A1" s="2" t="s">
        <v>227</v>
      </c>
    </row>
    <row r="2" spans="1:5" x14ac:dyDescent="0.25">
      <c r="A2" s="1" t="s">
        <v>6</v>
      </c>
    </row>
    <row r="3" spans="1:5" x14ac:dyDescent="0.25">
      <c r="A3" s="1" t="s">
        <v>217</v>
      </c>
      <c r="B3" s="1" t="s">
        <v>218</v>
      </c>
      <c r="C3" s="1" t="s">
        <v>219</v>
      </c>
      <c r="D3" s="1" t="s">
        <v>220</v>
      </c>
      <c r="E3" s="1" t="s">
        <v>221</v>
      </c>
    </row>
    <row r="4" spans="1:5" x14ac:dyDescent="0.25">
      <c r="A4">
        <v>118.9911</v>
      </c>
      <c r="B4" t="s">
        <v>234</v>
      </c>
      <c r="C4" t="s">
        <v>235</v>
      </c>
      <c r="D4" t="b">
        <v>0</v>
      </c>
      <c r="E4" t="s">
        <v>233</v>
      </c>
    </row>
    <row r="5" spans="1:5" x14ac:dyDescent="0.25">
      <c r="A5">
        <v>168.98830000000001</v>
      </c>
      <c r="B5" t="s">
        <v>238</v>
      </c>
      <c r="C5" t="s">
        <v>239</v>
      </c>
      <c r="D5" t="b">
        <v>0</v>
      </c>
      <c r="E5" t="s">
        <v>233</v>
      </c>
    </row>
    <row r="6" spans="1:5" x14ac:dyDescent="0.25">
      <c r="A6">
        <v>218.98560000000001</v>
      </c>
      <c r="B6" t="s">
        <v>231</v>
      </c>
      <c r="C6" t="s">
        <v>232</v>
      </c>
      <c r="D6" t="b">
        <v>0</v>
      </c>
      <c r="E6" t="s">
        <v>233</v>
      </c>
    </row>
    <row r="7" spans="1:5" x14ac:dyDescent="0.25">
      <c r="A7">
        <v>268.983</v>
      </c>
      <c r="B7" t="s">
        <v>236</v>
      </c>
      <c r="C7" t="s">
        <v>237</v>
      </c>
      <c r="D7" t="b">
        <v>0</v>
      </c>
      <c r="E7" t="s">
        <v>233</v>
      </c>
    </row>
  </sheetData>
  <dataValidations count="5">
    <dataValidation allowBlank="1" showInputMessage="1" showErrorMessage="1" promptTitle="mz" prompt="Measured m/z of the fragment to be annotated" sqref="A3" xr:uid="{57FDF3A7-2B28-495B-90C8-5359A64479FF}"/>
    <dataValidation allowBlank="1" showInputMessage="1" showErrorMessage="1" promptTitle="Elemental Formula" prompt="The proposed elemental formula for the specific fragment" sqref="B3" xr:uid="{14869F42-A63D-4939-9E35-6F29835C8DFA}"/>
    <dataValidation allowBlank="1" showInputMessage="1" showErrorMessage="1" promptTitle="SMILES" prompt="The proposed fragment structure (in SMILES notation) for the specific fragment, can be empty" sqref="C3" xr:uid="{1AD0E1CD-5D59-47F8-BDB5-E176D60E790F}"/>
    <dataValidation allowBlank="1" showInputMessage="1" showErrorMessage="1" promptTitle="Radical" prompt="Does the proposed fragment structure contain a radical electron (TRUE, FALSE, UNKNOWN)" sqref="D3" xr:uid="{F9570A36-4588-4C90-846F-1999E1BE38A0}"/>
    <dataValidation allowBlank="1" showInputMessage="1" showErrorMessage="1" promptTitle="Citation" prompt="Reference or other citation (DOI or website) for the evidence of the fragment identification. Enter USER if it is based on user interpretation only." sqref="E3" xr:uid="{FA35728E-98AB-4E18-8519-AD511D571D77}"/>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FE616-BBD7-461F-9C30-25514D97682D}">
  <sheetPr codeName="Sheet16"/>
  <dimension ref="A1:E8"/>
  <sheetViews>
    <sheetView workbookViewId="0">
      <selection activeCell="E13" sqref="E13"/>
    </sheetView>
  </sheetViews>
  <sheetFormatPr defaultRowHeight="15" x14ac:dyDescent="0.25"/>
  <cols>
    <col min="1" max="5" width="27.7109375" customWidth="1"/>
  </cols>
  <sheetData>
    <row r="1" spans="1:5" ht="18.75" x14ac:dyDescent="0.3">
      <c r="A1" s="2" t="s">
        <v>229</v>
      </c>
    </row>
    <row r="2" spans="1:5" x14ac:dyDescent="0.25">
      <c r="A2" s="1" t="s">
        <v>6</v>
      </c>
    </row>
    <row r="3" spans="1:5" x14ac:dyDescent="0.25">
      <c r="A3" s="1" t="s">
        <v>217</v>
      </c>
      <c r="B3" s="1" t="s">
        <v>218</v>
      </c>
      <c r="C3" s="1" t="s">
        <v>219</v>
      </c>
      <c r="D3" s="1" t="s">
        <v>220</v>
      </c>
      <c r="E3" s="1" t="s">
        <v>221</v>
      </c>
    </row>
    <row r="4" spans="1:5" x14ac:dyDescent="0.25">
      <c r="A4">
        <v>118.9911</v>
      </c>
      <c r="B4" t="s">
        <v>234</v>
      </c>
      <c r="C4" t="s">
        <v>235</v>
      </c>
      <c r="D4" t="b">
        <v>0</v>
      </c>
      <c r="E4" t="s">
        <v>233</v>
      </c>
    </row>
    <row r="5" spans="1:5" x14ac:dyDescent="0.25">
      <c r="A5">
        <v>168.98830000000001</v>
      </c>
      <c r="B5" t="s">
        <v>238</v>
      </c>
      <c r="C5" t="s">
        <v>239</v>
      </c>
      <c r="D5" t="b">
        <v>0</v>
      </c>
      <c r="E5" t="s">
        <v>233</v>
      </c>
    </row>
    <row r="6" spans="1:5" x14ac:dyDescent="0.25">
      <c r="A6">
        <v>218.9854</v>
      </c>
      <c r="B6" t="s">
        <v>231</v>
      </c>
      <c r="C6" t="s">
        <v>232</v>
      </c>
      <c r="D6" t="b">
        <v>0</v>
      </c>
      <c r="E6" t="s">
        <v>233</v>
      </c>
    </row>
    <row r="7" spans="1:5" x14ac:dyDescent="0.25">
      <c r="A7">
        <v>268.9828</v>
      </c>
      <c r="B7" t="s">
        <v>236</v>
      </c>
      <c r="C7" t="s">
        <v>237</v>
      </c>
      <c r="D7" t="b">
        <v>0</v>
      </c>
      <c r="E7" t="s">
        <v>233</v>
      </c>
    </row>
    <row r="8" spans="1:5" x14ac:dyDescent="0.25">
      <c r="A8">
        <v>318.97930000000002</v>
      </c>
      <c r="B8" t="s">
        <v>240</v>
      </c>
      <c r="C8" t="s">
        <v>241</v>
      </c>
      <c r="D8" t="b">
        <v>0</v>
      </c>
      <c r="E8" t="s">
        <v>233</v>
      </c>
    </row>
  </sheetData>
  <dataValidations count="5">
    <dataValidation allowBlank="1" showInputMessage="1" showErrorMessage="1" promptTitle="mz" prompt="Measured m/z of the fragment to be annotated" sqref="A3" xr:uid="{02ECD47A-5CA7-47DD-BD7D-EE655D098BBE}"/>
    <dataValidation allowBlank="1" showInputMessage="1" showErrorMessage="1" promptTitle="Elemental Formula" prompt="The proposed elemental formula for the specific fragment" sqref="B3" xr:uid="{003BD54F-89C2-418A-A25D-B77EA44A6D6E}"/>
    <dataValidation allowBlank="1" showInputMessage="1" showErrorMessage="1" promptTitle="SMILES" prompt="The proposed fragment structure (in SMILES notation) for the specific fragment, can be empty" sqref="C3" xr:uid="{CF83A9CC-5486-42F8-94DA-B1D41AE02FDB}"/>
    <dataValidation allowBlank="1" showInputMessage="1" showErrorMessage="1" promptTitle="Radical" prompt="Does the proposed fragment structure contain a radical electron (TRUE, FALSE, UNKNOWN)" sqref="D3" xr:uid="{4E0A93C8-2896-4930-AC13-69C781D52C3E}"/>
    <dataValidation allowBlank="1" showInputMessage="1" showErrorMessage="1" promptTitle="Citation" prompt="Reference or other citation (DOI or website) for the evidence of the fragment identification. Enter USER if it is based on user interpretation only." sqref="E3" xr:uid="{D57B4C92-6C4D-47F2-AA9C-E2633049C117}"/>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9EE0-9A2B-479D-BBFF-D3205ED7FA7B}">
  <sheetPr codeName="Sheet15"/>
  <dimension ref="A1:E9"/>
  <sheetViews>
    <sheetView workbookViewId="0">
      <selection activeCell="B4" sqref="B4:E9"/>
    </sheetView>
  </sheetViews>
  <sheetFormatPr defaultRowHeight="15" x14ac:dyDescent="0.25"/>
  <cols>
    <col min="1" max="5" width="27.7109375" customWidth="1"/>
  </cols>
  <sheetData>
    <row r="1" spans="1:5" ht="18.75" x14ac:dyDescent="0.3">
      <c r="A1" s="2" t="s">
        <v>228</v>
      </c>
    </row>
    <row r="2" spans="1:5" x14ac:dyDescent="0.25">
      <c r="A2" s="1" t="s">
        <v>6</v>
      </c>
    </row>
    <row r="3" spans="1:5" x14ac:dyDescent="0.25">
      <c r="A3" s="1" t="s">
        <v>217</v>
      </c>
      <c r="B3" s="1" t="s">
        <v>218</v>
      </c>
      <c r="C3" s="1" t="s">
        <v>219</v>
      </c>
      <c r="D3" s="1" t="s">
        <v>220</v>
      </c>
      <c r="E3" s="1" t="s">
        <v>221</v>
      </c>
    </row>
    <row r="4" spans="1:5" x14ac:dyDescent="0.25">
      <c r="A4">
        <v>118.9911</v>
      </c>
      <c r="B4" t="s">
        <v>234</v>
      </c>
      <c r="C4" t="s">
        <v>235</v>
      </c>
      <c r="D4" t="b">
        <v>0</v>
      </c>
      <c r="E4" t="s">
        <v>233</v>
      </c>
    </row>
    <row r="5" spans="1:5" x14ac:dyDescent="0.25">
      <c r="A5">
        <v>168.98820000000001</v>
      </c>
      <c r="B5" t="s">
        <v>238</v>
      </c>
      <c r="C5" t="s">
        <v>239</v>
      </c>
      <c r="D5" t="b">
        <v>0</v>
      </c>
      <c r="E5" t="s">
        <v>233</v>
      </c>
    </row>
    <row r="6" spans="1:5" x14ac:dyDescent="0.25">
      <c r="A6">
        <v>218.98560000000001</v>
      </c>
      <c r="B6" t="s">
        <v>231</v>
      </c>
      <c r="C6" t="s">
        <v>232</v>
      </c>
      <c r="D6" t="b">
        <v>0</v>
      </c>
      <c r="E6" t="s">
        <v>233</v>
      </c>
    </row>
    <row r="7" spans="1:5" x14ac:dyDescent="0.25">
      <c r="A7">
        <v>268.983</v>
      </c>
      <c r="B7" t="s">
        <v>236</v>
      </c>
      <c r="C7" t="s">
        <v>237</v>
      </c>
      <c r="D7" t="b">
        <v>0</v>
      </c>
      <c r="E7" t="s">
        <v>233</v>
      </c>
    </row>
    <row r="8" spans="1:5" x14ac:dyDescent="0.25">
      <c r="A8">
        <v>318.97949999999997</v>
      </c>
      <c r="B8" t="s">
        <v>240</v>
      </c>
      <c r="C8" t="s">
        <v>241</v>
      </c>
      <c r="D8" t="b">
        <v>0</v>
      </c>
      <c r="E8" t="s">
        <v>233</v>
      </c>
    </row>
    <row r="9" spans="1:5" x14ac:dyDescent="0.25">
      <c r="A9">
        <v>368.97570000000002</v>
      </c>
      <c r="B9" t="s">
        <v>242</v>
      </c>
      <c r="C9" t="s">
        <v>243</v>
      </c>
      <c r="D9" t="b">
        <v>0</v>
      </c>
      <c r="E9" t="s">
        <v>233</v>
      </c>
    </row>
  </sheetData>
  <dataValidations count="5">
    <dataValidation allowBlank="1" showInputMessage="1" showErrorMessage="1" promptTitle="mz" prompt="Measured m/z of the fragment to be annotated" sqref="A3" xr:uid="{AD077ACA-6AD6-4AFF-8A83-BE3365D84A1B}"/>
    <dataValidation allowBlank="1" showInputMessage="1" showErrorMessage="1" promptTitle="Elemental Formula" prompt="The proposed elemental formula for the specific fragment" sqref="B3" xr:uid="{3D85DAB1-7C3F-46C2-A320-B9F9D14D4FD3}"/>
    <dataValidation allowBlank="1" showInputMessage="1" showErrorMessage="1" promptTitle="SMILES" prompt="The proposed fragment structure (in SMILES notation) for the specific fragment, can be empty" sqref="C3" xr:uid="{C9AA8CEC-604D-4000-914F-368EFE492F50}"/>
    <dataValidation allowBlank="1" showInputMessage="1" showErrorMessage="1" promptTitle="Radical" prompt="Does the proposed fragment structure contain a radical electron (TRUE, FALSE, UNKNOWN)" sqref="D3" xr:uid="{6111F9FF-BBEF-4BFF-9A19-D718C15962DF}"/>
    <dataValidation allowBlank="1" showInputMessage="1" showErrorMessage="1" promptTitle="Citation" prompt="Reference or other citation (DOI or website) for the evidence of the fragment identification. Enter USER if it is based on user interpretation only." sqref="E3" xr:uid="{1F58E35C-25DE-4555-9AA0-6421127AF778}"/>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3FB5-AFBE-4916-AA53-D12F5FA8ED81}">
  <sheetPr codeName="Sheet17"/>
  <dimension ref="A1:E9"/>
  <sheetViews>
    <sheetView workbookViewId="0">
      <selection activeCell="C21" sqref="C21"/>
    </sheetView>
  </sheetViews>
  <sheetFormatPr defaultRowHeight="15" x14ac:dyDescent="0.25"/>
  <cols>
    <col min="1" max="5" width="27.7109375" customWidth="1"/>
  </cols>
  <sheetData>
    <row r="1" spans="1:5" ht="18.75" x14ac:dyDescent="0.3">
      <c r="A1" s="2" t="s">
        <v>230</v>
      </c>
    </row>
    <row r="2" spans="1:5" x14ac:dyDescent="0.25">
      <c r="A2" s="1" t="s">
        <v>6</v>
      </c>
    </row>
    <row r="3" spans="1:5" x14ac:dyDescent="0.25">
      <c r="A3" s="1" t="s">
        <v>217</v>
      </c>
      <c r="B3" s="1" t="s">
        <v>218</v>
      </c>
      <c r="C3" s="1" t="s">
        <v>219</v>
      </c>
      <c r="D3" s="1" t="s">
        <v>220</v>
      </c>
      <c r="E3" s="1" t="s">
        <v>221</v>
      </c>
    </row>
    <row r="4" spans="1:5" x14ac:dyDescent="0.25">
      <c r="A4">
        <v>118.9911</v>
      </c>
      <c r="B4" t="s">
        <v>234</v>
      </c>
      <c r="C4" t="s">
        <v>235</v>
      </c>
      <c r="D4" t="b">
        <v>0</v>
      </c>
      <c r="E4" t="s">
        <v>233</v>
      </c>
    </row>
    <row r="5" spans="1:5" x14ac:dyDescent="0.25">
      <c r="A5">
        <v>168.98830000000001</v>
      </c>
      <c r="B5" t="s">
        <v>238</v>
      </c>
      <c r="C5" t="s">
        <v>239</v>
      </c>
      <c r="D5" t="b">
        <v>0</v>
      </c>
      <c r="E5" t="s">
        <v>233</v>
      </c>
    </row>
    <row r="6" spans="1:5" x14ac:dyDescent="0.25">
      <c r="A6">
        <v>218.9855</v>
      </c>
      <c r="B6" t="s">
        <v>231</v>
      </c>
      <c r="C6" t="s">
        <v>232</v>
      </c>
      <c r="D6" t="b">
        <v>0</v>
      </c>
      <c r="E6" t="s">
        <v>233</v>
      </c>
    </row>
    <row r="7" spans="1:5" x14ac:dyDescent="0.25">
      <c r="A7">
        <v>268.98309999999998</v>
      </c>
      <c r="B7" t="s">
        <v>236</v>
      </c>
      <c r="C7" t="s">
        <v>237</v>
      </c>
      <c r="D7" t="b">
        <v>0</v>
      </c>
      <c r="E7" t="s">
        <v>233</v>
      </c>
    </row>
    <row r="8" spans="1:5" x14ac:dyDescent="0.25">
      <c r="A8">
        <v>318.9796</v>
      </c>
      <c r="B8" t="s">
        <v>240</v>
      </c>
      <c r="C8" t="s">
        <v>241</v>
      </c>
      <c r="D8" t="b">
        <v>0</v>
      </c>
      <c r="E8" t="s">
        <v>233</v>
      </c>
    </row>
    <row r="9" spans="1:5" x14ac:dyDescent="0.25">
      <c r="A9">
        <v>368.97750000000002</v>
      </c>
      <c r="B9" t="s">
        <v>242</v>
      </c>
      <c r="C9" t="s">
        <v>243</v>
      </c>
      <c r="D9" t="b">
        <v>0</v>
      </c>
      <c r="E9" t="s">
        <v>233</v>
      </c>
    </row>
  </sheetData>
  <dataValidations count="5">
    <dataValidation allowBlank="1" showInputMessage="1" showErrorMessage="1" promptTitle="mz" prompt="Measured m/z of the fragment to be annotated" sqref="A3" xr:uid="{3F208E96-5E1B-4BBB-A763-BDDC7BA8AE75}"/>
    <dataValidation allowBlank="1" showInputMessage="1" showErrorMessage="1" promptTitle="Elemental Formula" prompt="The proposed elemental formula for the specific fragment" sqref="B3" xr:uid="{07866F04-AA8F-4AFB-9377-BEB6508F88E8}"/>
    <dataValidation allowBlank="1" showInputMessage="1" showErrorMessage="1" promptTitle="SMILES" prompt="The proposed fragment structure (in SMILES notation) for the specific fragment, can be empty" sqref="C3" xr:uid="{5694BE40-0C46-4998-ADAA-40BF06F41175}"/>
    <dataValidation allowBlank="1" showInputMessage="1" showErrorMessage="1" promptTitle="Radical" prompt="Does the proposed fragment structure contain a radical electron (TRUE, FALSE, UNKNOWN)" sqref="D3" xr:uid="{2A91A7DD-8316-4723-BF37-AF132ACE37F4}"/>
    <dataValidation allowBlank="1" showInputMessage="1" showErrorMessage="1" promptTitle="Citation" prompt="Reference or other citation (DOI or website) for the evidence of the fragment identification. Enter USER if it is based on user interpretation only." sqref="E3" xr:uid="{2EA188A8-C4B3-4067-87A4-3B22786F027B}"/>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A12E1-B985-40DB-8602-D6D0E65F6086}">
  <sheetPr codeName="Sheet18"/>
  <dimension ref="A1:E8"/>
  <sheetViews>
    <sheetView workbookViewId="0">
      <selection activeCell="C13" sqref="C13"/>
    </sheetView>
  </sheetViews>
  <sheetFormatPr defaultRowHeight="15" x14ac:dyDescent="0.25"/>
  <cols>
    <col min="1" max="5" width="27.7109375" customWidth="1"/>
  </cols>
  <sheetData>
    <row r="1" spans="1:5" ht="18.75" x14ac:dyDescent="0.3">
      <c r="A1" s="2" t="s">
        <v>259</v>
      </c>
    </row>
    <row r="2" spans="1:5" x14ac:dyDescent="0.25">
      <c r="A2" s="1" t="s">
        <v>6</v>
      </c>
    </row>
    <row r="3" spans="1:5" x14ac:dyDescent="0.25">
      <c r="A3" s="1" t="s">
        <v>217</v>
      </c>
      <c r="B3" s="1" t="s">
        <v>218</v>
      </c>
      <c r="C3" s="1" t="s">
        <v>219</v>
      </c>
      <c r="D3" s="1" t="s">
        <v>220</v>
      </c>
      <c r="E3" s="1" t="s">
        <v>221</v>
      </c>
    </row>
    <row r="4" spans="1:5" x14ac:dyDescent="0.25">
      <c r="A4">
        <v>118.9911</v>
      </c>
      <c r="B4" t="s">
        <v>234</v>
      </c>
      <c r="C4" t="s">
        <v>235</v>
      </c>
      <c r="D4" t="b">
        <v>0</v>
      </c>
      <c r="E4" t="s">
        <v>233</v>
      </c>
    </row>
    <row r="5" spans="1:5" x14ac:dyDescent="0.25">
      <c r="A5">
        <v>168.98830000000001</v>
      </c>
      <c r="B5" t="s">
        <v>238</v>
      </c>
      <c r="C5" t="s">
        <v>239</v>
      </c>
      <c r="D5" t="b">
        <v>0</v>
      </c>
      <c r="E5" t="s">
        <v>233</v>
      </c>
    </row>
    <row r="6" spans="1:5" x14ac:dyDescent="0.25">
      <c r="A6">
        <v>218.9855</v>
      </c>
      <c r="B6" t="s">
        <v>231</v>
      </c>
      <c r="C6" t="s">
        <v>232</v>
      </c>
      <c r="D6" t="b">
        <v>0</v>
      </c>
      <c r="E6" t="s">
        <v>233</v>
      </c>
    </row>
    <row r="7" spans="1:5" x14ac:dyDescent="0.25">
      <c r="A7">
        <v>268.98309999999998</v>
      </c>
      <c r="B7" t="s">
        <v>236</v>
      </c>
      <c r="C7" t="s">
        <v>237</v>
      </c>
      <c r="D7" t="b">
        <v>0</v>
      </c>
      <c r="E7" t="s">
        <v>233</v>
      </c>
    </row>
    <row r="8" spans="1:5" x14ac:dyDescent="0.25">
      <c r="A8">
        <v>318.97980000000001</v>
      </c>
      <c r="B8" t="s">
        <v>240</v>
      </c>
      <c r="C8" t="s">
        <v>241</v>
      </c>
      <c r="D8" t="b">
        <v>0</v>
      </c>
      <c r="E8" t="s">
        <v>233</v>
      </c>
    </row>
  </sheetData>
  <dataValidations count="5">
    <dataValidation allowBlank="1" showInputMessage="1" showErrorMessage="1" promptTitle="Citation" prompt="Reference or other citation (DOI or website) for the evidence of the fragment identification. Enter USER if it is based on user interpretation only." sqref="E3" xr:uid="{61018273-68AF-4BDD-8A64-660C399C9004}"/>
    <dataValidation allowBlank="1" showInputMessage="1" showErrorMessage="1" promptTitle="Radical" prompt="Does the proposed fragment structure contain a radical electron (TRUE, FALSE, UNKNOWN)" sqref="D3" xr:uid="{E26E3547-E570-4C1D-A9A1-045FB29F1B85}"/>
    <dataValidation allowBlank="1" showInputMessage="1" showErrorMessage="1" promptTitle="SMILES" prompt="The proposed fragment structure (in SMILES notation) for the specific fragment, can be empty" sqref="C3" xr:uid="{CBBF4BB4-1465-4DA7-9BF6-277BC5CC0BBF}"/>
    <dataValidation allowBlank="1" showInputMessage="1" showErrorMessage="1" promptTitle="Elemental Formula" prompt="The proposed elemental formula for the specific fragment" sqref="B3" xr:uid="{B80E8684-37DF-457D-AE8E-8ED1CEA9093B}"/>
    <dataValidation allowBlank="1" showInputMessage="1" showErrorMessage="1" promptTitle="mz" prompt="Measured m/z of the fragment to be annotated" sqref="A3" xr:uid="{7350AC2F-463A-4895-8F99-770DF920965F}"/>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Run</vt:lpstr>
      <vt:lpstr>Input_Validation</vt:lpstr>
      <vt:lpstr>Sample_Input</vt:lpstr>
      <vt:lpstr>Chromatography_Input</vt:lpstr>
      <vt:lpstr>Mass Spectrometry_Input</vt:lpstr>
      <vt:lpstr>QC Method_Input</vt:lpstr>
      <vt:lpstr>Peaks_Input</vt:lpstr>
      <vt:lpstr>Ann_Perfluoropentanoic acid</vt:lpstr>
      <vt:lpstr>Ann_Perfluorohexanoic acid</vt:lpstr>
      <vt:lpstr>Ann_Perfluoroheptanoic acid</vt:lpstr>
      <vt:lpstr>Ann_Perfluorooctanoic acid</vt:lpstr>
      <vt:lpstr>Ann_Perfluorononanoic acid</vt:lpstr>
      <vt:lpstr>Ann_Perfluorodecanoic acid</vt:lpstr>
      <vt:lpstr>Ann_Perfluoroundecanoic acid</vt:lpstr>
      <vt:lpstr>Ann_Perfluorododecanoic acid</vt:lpstr>
      <vt:lpstr>Ann_Perfluorotridecanoic acid</vt:lpstr>
      <vt:lpstr>Ann_Perfluorotetradecanoic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2021-07-21T16:56:42Z</dcterms:modified>
</cp:coreProperties>
</file>