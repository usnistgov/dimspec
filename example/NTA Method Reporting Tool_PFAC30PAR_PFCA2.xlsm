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127" codeName="{4470D2CD-2249-CD33-4A35-6F278624656F}"/>
  <workbookPr codeName="ThisWorkbook" defaultThemeVersion="166925"/>
  <mc:AlternateContent xmlns:mc="http://schemas.openxmlformats.org/markup-compatibility/2006">
    <mc:Choice Requires="x15">
      <x15ac:absPath xmlns:x15ac="http://schemas.microsoft.com/office/spreadsheetml/2010/11/ac" url="C:\Users\bjp\Documents\code_repository\R\compound_msdb\example\"/>
    </mc:Choice>
  </mc:AlternateContent>
  <xr:revisionPtr revIDLastSave="0" documentId="13_ncr:1_{2CF1A000-9E36-4C20-BAE5-68552152699C}" xr6:coauthVersionLast="45" xr6:coauthVersionMax="45" xr10:uidLastSave="{00000000-0000-0000-0000-000000000000}"/>
  <bookViews>
    <workbookView xWindow="-28920" yWindow="-120" windowWidth="29040" windowHeight="16440" xr2:uid="{90B8E717-CD35-4EBB-A047-3C52215825F8}"/>
  </bookViews>
  <sheets>
    <sheet name="Run" sheetId="10" r:id="rId1"/>
    <sheet name="Sample_Input" sheetId="5" r:id="rId2"/>
    <sheet name="Chromatography_Input" sheetId="1" r:id="rId3"/>
    <sheet name="Mass Spectrometry_Input" sheetId="3" r:id="rId4"/>
    <sheet name="QC Method_Input" sheetId="4" r:id="rId5"/>
    <sheet name="Peaks_Input" sheetId="8" r:id="rId6"/>
    <sheet name="Input_Validation" sheetId="11" state="hidden" r:id="rId7"/>
    <sheet name="Ann_Perfluoropentanoic acid" sheetId="13" r:id="rId8"/>
    <sheet name="Ann_Perfluorohexanoic acid" sheetId="14" r:id="rId9"/>
    <sheet name="Ann_Perfluoroheptanoic acid" sheetId="15" r:id="rId10"/>
    <sheet name="Ann_Perfluorooctanoic acid" sheetId="16" r:id="rId11"/>
    <sheet name="Ann_Perfluorononanoic acid" sheetId="17" r:id="rId12"/>
    <sheet name="Ann_Perfluorodecanoic acid" sheetId="18" r:id="rId13"/>
    <sheet name="Ann_Perfluoroundecanoic acid" sheetId="20" r:id="rId14"/>
    <sheet name="Ann_Perfluorododecanoic acid" sheetId="19" r:id="rId15"/>
    <sheet name="Ann_Perfluorotridecanoic acid" sheetId="21" r:id="rId16"/>
    <sheet name="Ann_Perfluorotetradecanoic acid" sheetId="22" r:id="rId17"/>
  </sheets>
  <definedNames>
    <definedName name="_xlnm._FilterDatabase" localSheetId="6" hidden="1">Input_Validation!$D$2:$D$6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9" i="10" l="1"/>
  <c r="C7" i="10" l="1"/>
  <c r="C6" i="10" l="1"/>
  <c r="C8" i="10" l="1"/>
  <c r="C5" i="1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CB1EFEF-6169-480B-A5D0-BF94711BAE83}">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500A0DD-DB98-4336-B106-B57282F8AA95}">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2FCAC71-4312-4C37-BA8B-3E13E1841882}">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E958C2D-0F4B-4B80-B8A3-D2B6C432A249}">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73A2522A-8DB5-4CBA-B79B-461321A78755}">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D80E9C7D-143B-41C5-AA1B-972E1C1C16FC}">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878A25C-A032-4DAE-AAF6-1B7EDF1C711C}">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507FFB1B-6DAB-4911-8834-C27E55F04206}">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C75765B0-28F0-4AD7-B377-B5D895DE31BA}">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Place, Benjamin J. (Fed)</author>
  </authors>
  <commentList>
    <comment ref="D3" authorId="0" shapeId="0" xr:uid="{625E3324-794B-46AA-AA4A-24134302233E}">
      <text/>
    </comment>
  </commentList>
</comments>
</file>

<file path=xl/sharedStrings.xml><?xml version="1.0" encoding="utf-8"?>
<sst xmlns="http://schemas.openxmlformats.org/spreadsheetml/2006/main" count="525" uniqueCount="270">
  <si>
    <t>Chromatography</t>
  </si>
  <si>
    <t>Mobile Phase 1 Solvent</t>
  </si>
  <si>
    <t>Mobile Phase 1 Additive</t>
  </si>
  <si>
    <t>Value</t>
  </si>
  <si>
    <t>Description</t>
  </si>
  <si>
    <t>Type of Chromatography</t>
  </si>
  <si>
    <t>User Input</t>
  </si>
  <si>
    <t>ThermoFisher Scientific</t>
  </si>
  <si>
    <t>Mobile Phase 2 Solvent</t>
  </si>
  <si>
    <t>Mobile Phase 2 Additive</t>
  </si>
  <si>
    <t>Mobile Phase 3 Solvent</t>
  </si>
  <si>
    <t>Mobile Phase 3 Additive</t>
  </si>
  <si>
    <t>Mobile Phase 4 Solvent</t>
  </si>
  <si>
    <t>Mobile Phase 4 Additive</t>
  </si>
  <si>
    <t>none</t>
  </si>
  <si>
    <t>cetype</t>
  </si>
  <si>
    <t>mp1solvent</t>
  </si>
  <si>
    <t>mp1add</t>
  </si>
  <si>
    <t>mp2add</t>
  </si>
  <si>
    <t>mp3solvent</t>
  </si>
  <si>
    <t>mp3add</t>
  </si>
  <si>
    <t>mp4solvent</t>
  </si>
  <si>
    <t>mp4add</t>
  </si>
  <si>
    <t>colname</t>
  </si>
  <si>
    <t>Column Phase</t>
  </si>
  <si>
    <t>colchemistry</t>
  </si>
  <si>
    <t>colid</t>
  </si>
  <si>
    <t>collen</t>
  </si>
  <si>
    <t>coldp</t>
  </si>
  <si>
    <t>Chromatography Column Vendor</t>
  </si>
  <si>
    <t>Chromatograph Vendor</t>
  </si>
  <si>
    <t>Agilent Technologies</t>
  </si>
  <si>
    <t>cvendor</t>
  </si>
  <si>
    <t>Mass Spectrometry</t>
  </si>
  <si>
    <t>Mass Spectrometer Vendor</t>
  </si>
  <si>
    <t>Ionization Mode</t>
  </si>
  <si>
    <t>electrospray ionization</t>
  </si>
  <si>
    <t>imode</t>
  </si>
  <si>
    <t>Polarity</t>
  </si>
  <si>
    <t>negative</t>
  </si>
  <si>
    <t>polarity</t>
  </si>
  <si>
    <t>Ionization Voltage/Current</t>
  </si>
  <si>
    <t>vvalue</t>
  </si>
  <si>
    <t>Ionization Voltage/Current Units</t>
  </si>
  <si>
    <t>V</t>
  </si>
  <si>
    <t>vunits</t>
  </si>
  <si>
    <t>First Mass Analyzer</t>
  </si>
  <si>
    <t>quadrupole</t>
  </si>
  <si>
    <t>massanalyzer1</t>
  </si>
  <si>
    <t>Second Mass Analyzer</t>
  </si>
  <si>
    <t>orbitrap</t>
  </si>
  <si>
    <t>massanalyzer2</t>
  </si>
  <si>
    <t>HCD</t>
  </si>
  <si>
    <t>fragmode</t>
  </si>
  <si>
    <t>Collision Cell Type</t>
  </si>
  <si>
    <t>cevalue</t>
  </si>
  <si>
    <t>Fragmentation/Collision Energy Type</t>
  </si>
  <si>
    <t>Fragmentation/Collision Energy Units</t>
  </si>
  <si>
    <t>ceunits</t>
  </si>
  <si>
    <t>qcused</t>
  </si>
  <si>
    <t>Mass Analyzer Calibration</t>
  </si>
  <si>
    <t>External Standard Verification</t>
  </si>
  <si>
    <t>Internal Standard Verification</t>
  </si>
  <si>
    <t>Matrix Standard Verification</t>
  </si>
  <si>
    <t>qctype</t>
  </si>
  <si>
    <t>QC Method</t>
  </si>
  <si>
    <t>Sample Information</t>
  </si>
  <si>
    <t>File Name</t>
  </si>
  <si>
    <t>Sample Name</t>
  </si>
  <si>
    <t>filename</t>
  </si>
  <si>
    <t>description</t>
  </si>
  <si>
    <t>Sample Class</t>
  </si>
  <si>
    <t>class</t>
  </si>
  <si>
    <t>MS2 Experiment</t>
  </si>
  <si>
    <t>ms2exp</t>
  </si>
  <si>
    <t>Isolation Width/Window (Da)</t>
  </si>
  <si>
    <t>isowidth</t>
  </si>
  <si>
    <t>submitter</t>
  </si>
  <si>
    <t>name</t>
  </si>
  <si>
    <t>mz</t>
  </si>
  <si>
    <t>rt</t>
  </si>
  <si>
    <t>peak_starttime</t>
  </si>
  <si>
    <t>peak_endtime</t>
  </si>
  <si>
    <t>analytical standard</t>
  </si>
  <si>
    <t>solution reference material</t>
  </si>
  <si>
    <t>matrix reference material</t>
  </si>
  <si>
    <t>drinking water</t>
  </si>
  <si>
    <t>groundwater / surface water</t>
  </si>
  <si>
    <t>aqueous film-forming foam (AFFF)</t>
  </si>
  <si>
    <t>commercial formulation</t>
  </si>
  <si>
    <t>landfill leachate</t>
  </si>
  <si>
    <t>soil/sediment</t>
  </si>
  <si>
    <t>Liquid Chromatography</t>
  </si>
  <si>
    <t>Gas Chromatography</t>
  </si>
  <si>
    <t>Capillary Electrophoresis</t>
  </si>
  <si>
    <t>None</t>
  </si>
  <si>
    <t>Waters Corporation</t>
  </si>
  <si>
    <t>Shimadzu Corporation</t>
  </si>
  <si>
    <t>SCIEX</t>
  </si>
  <si>
    <t>Bruker Corporation</t>
  </si>
  <si>
    <t>Dionex</t>
  </si>
  <si>
    <t>Solvents</t>
  </si>
  <si>
    <t>Additives</t>
  </si>
  <si>
    <t>acetonitrile</t>
  </si>
  <si>
    <t>ammonium acetate</t>
  </si>
  <si>
    <t>methanol</t>
  </si>
  <si>
    <t>ammonium formate</t>
  </si>
  <si>
    <t>isopropanol</t>
  </si>
  <si>
    <t>ammonium hydroxide</t>
  </si>
  <si>
    <t>water</t>
  </si>
  <si>
    <t>formic acid</t>
  </si>
  <si>
    <t>acetic acid</t>
  </si>
  <si>
    <t>trifluoroacetic acid</t>
  </si>
  <si>
    <t>Higgins Analytical</t>
  </si>
  <si>
    <t>Step 1) Fill out the data in each Input sheet</t>
  </si>
  <si>
    <t>Sample_Input</t>
  </si>
  <si>
    <t>Chromatography_Input</t>
  </si>
  <si>
    <t>Mass Spectrometry_Input</t>
  </si>
  <si>
    <t>QC Method_Input</t>
  </si>
  <si>
    <t>Peaks_Input</t>
  </si>
  <si>
    <t>Sheet</t>
  </si>
  <si>
    <t>Complete?</t>
  </si>
  <si>
    <t>Contact pfas@nist.gov to find out how to share data.</t>
  </si>
  <si>
    <t>Was a QA/QC Method Used</t>
  </si>
  <si>
    <t>Method Reporting Tool for Non-Targeted Analyses</t>
  </si>
  <si>
    <t>atmospheric pressure chemical ionization</t>
  </si>
  <si>
    <t>atmospheric pressure photoionization</t>
  </si>
  <si>
    <t>chemical ionization</t>
  </si>
  <si>
    <t>electron ionization</t>
  </si>
  <si>
    <t>positive</t>
  </si>
  <si>
    <t>kV</t>
  </si>
  <si>
    <t>A</t>
  </si>
  <si>
    <t>μA</t>
  </si>
  <si>
    <t>eV</t>
  </si>
  <si>
    <t>Mass Analyzers</t>
  </si>
  <si>
    <t>linear ion-trap</t>
  </si>
  <si>
    <t>magnetic sector</t>
  </si>
  <si>
    <t>time-of-flight</t>
  </si>
  <si>
    <t>CID</t>
  </si>
  <si>
    <t>ECD</t>
  </si>
  <si>
    <t>DDA</t>
  </si>
  <si>
    <t>DIA</t>
  </si>
  <si>
    <t>SWATH</t>
  </si>
  <si>
    <t>normalized</t>
  </si>
  <si>
    <t>stepped</t>
  </si>
  <si>
    <t>fixed</t>
  </si>
  <si>
    <t>Step 3) Aggregate Date into output file</t>
  </si>
  <si>
    <t>Step 2) Press "Create Annotation Tables" to annotate the fragments of the peaks [optional]</t>
  </si>
  <si>
    <t>Step 4) Give data to NIST</t>
  </si>
  <si>
    <t>Tables Generated:</t>
  </si>
  <si>
    <t>Sample Solvent</t>
  </si>
  <si>
    <t>ssolvent</t>
  </si>
  <si>
    <t>msaccuracy</t>
  </si>
  <si>
    <t>MS1 Resolution</t>
  </si>
  <si>
    <t>MS2 Resolution</t>
  </si>
  <si>
    <t>ms1resolution</t>
  </si>
  <si>
    <t>ms2resolution</t>
  </si>
  <si>
    <t>Mass Spectrometer Model</t>
  </si>
  <si>
    <t>msmodel</t>
  </si>
  <si>
    <t>msvendor</t>
  </si>
  <si>
    <t>XML Parameter</t>
  </si>
  <si>
    <t>Chromatograph Model</t>
  </si>
  <si>
    <t>cmodel</t>
  </si>
  <si>
    <t>ctype</t>
  </si>
  <si>
    <t>m2solvent</t>
  </si>
  <si>
    <t>Guard Column Vendor</t>
  </si>
  <si>
    <t>gcolvendor</t>
  </si>
  <si>
    <t>colvendor</t>
  </si>
  <si>
    <t>Guard Column Phase</t>
  </si>
  <si>
    <t>gcolchemistry</t>
  </si>
  <si>
    <t>gcolname</t>
  </si>
  <si>
    <t>Phenomenex</t>
  </si>
  <si>
    <t>Restek Corporation</t>
  </si>
  <si>
    <t>YMC</t>
  </si>
  <si>
    <t>pentafluorophenyl (PFP)</t>
  </si>
  <si>
    <t>biphenyl</t>
  </si>
  <si>
    <t>octadecyl (C18)</t>
  </si>
  <si>
    <t>octyl (C8)</t>
  </si>
  <si>
    <t>silica</t>
  </si>
  <si>
    <t>diol</t>
  </si>
  <si>
    <t>pentadiol</t>
  </si>
  <si>
    <t>silica (no ligands)</t>
  </si>
  <si>
    <t>mixed-phase</t>
  </si>
  <si>
    <t>methylene chloride</t>
  </si>
  <si>
    <t>chloroform</t>
  </si>
  <si>
    <t>ethanol</t>
  </si>
  <si>
    <t>industrial effluent</t>
  </si>
  <si>
    <t>non-human biological material</t>
  </si>
  <si>
    <t>human biological material</t>
  </si>
  <si>
    <t>food</t>
  </si>
  <si>
    <t>textile</t>
  </si>
  <si>
    <t>Guard Column Inner Diameter</t>
  </si>
  <si>
    <t>Guard Column Length</t>
  </si>
  <si>
    <t>Guard Column Particle Diameter/Film Thickness</t>
  </si>
  <si>
    <t>gcolid</t>
  </si>
  <si>
    <t>gcollen</t>
  </si>
  <si>
    <t>gcoldp</t>
  </si>
  <si>
    <t>hexane</t>
  </si>
  <si>
    <t>Analytical Column Vendor</t>
  </si>
  <si>
    <t>Analytical Column Phase</t>
  </si>
  <si>
    <t>Analytical Column Inner Diameter</t>
  </si>
  <si>
    <t>Analytical Column Length</t>
  </si>
  <si>
    <t>Analytical Column Particle Diameter/Film Thickness</t>
  </si>
  <si>
    <t>Guard Column Brand Name</t>
  </si>
  <si>
    <t>Analytical Column Brand Name</t>
  </si>
  <si>
    <t>Fragmentation Type</t>
  </si>
  <si>
    <t>in-source fragmentation</t>
  </si>
  <si>
    <t>Fragmentation Energy Type</t>
  </si>
  <si>
    <t>Fragmentation Energy</t>
  </si>
  <si>
    <t>Fragmentation Energy Units</t>
  </si>
  <si>
    <t>Instrument Mass Accuracy (ppm)</t>
  </si>
  <si>
    <t>Suspect List ID</t>
  </si>
  <si>
    <t>PFAC30PAR_PFCA2.mzML</t>
  </si>
  <si>
    <t>UltiMate 3000</t>
  </si>
  <si>
    <t>Poroshell C18</t>
  </si>
  <si>
    <t>C18</t>
  </si>
  <si>
    <t>Q-Exactive</t>
  </si>
  <si>
    <t>Perfluoropentanoic acid</t>
  </si>
  <si>
    <t>Perfluorohexanoic acid</t>
  </si>
  <si>
    <t>Perfluoroheptanoic acid</t>
  </si>
  <si>
    <t>Perfluorooctanoic acid</t>
  </si>
  <si>
    <t>Perfluorononanoic acid</t>
  </si>
  <si>
    <t>Perfluorodecanoic acid</t>
  </si>
  <si>
    <t>Perfluorododecanoic acid</t>
  </si>
  <si>
    <t>Perfluoroundecanoic acid</t>
  </si>
  <si>
    <t>Perfluorotridecanoic acid</t>
  </si>
  <si>
    <t>Reference Standard for PFAS</t>
  </si>
  <si>
    <t>fourier transform ion cyclotron resonance</t>
  </si>
  <si>
    <t>Fragment m/z</t>
  </si>
  <si>
    <t>Fragment Elemental Formula</t>
  </si>
  <si>
    <t>Fragment SMILES</t>
  </si>
  <si>
    <t>Radical?</t>
  </si>
  <si>
    <t>Fragment Citation</t>
  </si>
  <si>
    <t>Peak Annotation for Perfluoropentanoic acid</t>
  </si>
  <si>
    <t>Peak Annotation for Perfluorohexanoic acid</t>
  </si>
  <si>
    <t>Peak Annotation for Perfluoroheptanoic acid</t>
  </si>
  <si>
    <t>Peak Annotation for Perfluorooctanoic acid</t>
  </si>
  <si>
    <t>Peak Annotation for Perfluorononanoic acid</t>
  </si>
  <si>
    <t>Peak Annotation for Perfluorodecanoic acid</t>
  </si>
  <si>
    <t>Peak Annotation for Perfluorododecanoic acid</t>
  </si>
  <si>
    <t>Peak Annotation for Perfluoroundecanoic acid</t>
  </si>
  <si>
    <t>Peak Annotation for Perfluorotridecanoic acid</t>
  </si>
  <si>
    <t>C4F9</t>
  </si>
  <si>
    <t>FC(F)([C-](F)F)C(F)(F)C(F)(F)F</t>
  </si>
  <si>
    <t>DOI:10.1002/rcm.3274</t>
  </si>
  <si>
    <t>C2F5</t>
  </si>
  <si>
    <t>F[C-](F)C(F)(F)F</t>
  </si>
  <si>
    <t>C5F11</t>
  </si>
  <si>
    <t>FC(F)(C(F)(F)C(F)(F)F)C(F)(F)[C-](F)F</t>
  </si>
  <si>
    <t>C3F7</t>
  </si>
  <si>
    <t>F[C-](F)C(F)(F)C(F)(F)F</t>
  </si>
  <si>
    <t>C6F13</t>
  </si>
  <si>
    <t>FC(F)(C(F)(F)C(F)(F)F)C(F)(F)C(F)(F)[C-](F)F</t>
  </si>
  <si>
    <t>C7F15</t>
  </si>
  <si>
    <t>FC(F)(C(F)(F)C(F)(F)F)C(F)(F)C(F)(F)C(F)(F)[C-](F)F</t>
  </si>
  <si>
    <t>Submitted by</t>
  </si>
  <si>
    <t>bjp@nist.gov</t>
  </si>
  <si>
    <t>Ion State</t>
  </si>
  <si>
    <t>[M+H]+</t>
  </si>
  <si>
    <t>[M]+</t>
  </si>
  <si>
    <t>[M+Na]+</t>
  </si>
  <si>
    <t>[M+K]+</t>
  </si>
  <si>
    <t>[M+NH4]+</t>
  </si>
  <si>
    <t>[M-H2O+H]+</t>
  </si>
  <si>
    <t>[M]-</t>
  </si>
  <si>
    <t>[M-FCO2H]-</t>
  </si>
  <si>
    <t>[2M-H]-</t>
  </si>
  <si>
    <t>[M-H]-</t>
  </si>
  <si>
    <t>Verified?</t>
  </si>
  <si>
    <t>Perfluorotetradecanoic acid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</si>
</sst>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14"/>
      <color theme="1"/>
      <name val="Calibri"/>
      <family val="2"/>
      <scheme val="minor"/>
    </font>
    <font>
      <sz val="14"/>
      <color rgb="FF000000"/>
      <name val="Calibri"/>
      <family val="2"/>
    </font>
    <font>
      <sz val="11"/>
      <color theme="1"/>
      <name val="Calibri"/>
      <family val="2"/>
    </font>
    <font>
      <b/>
      <sz val="16"/>
      <color theme="1"/>
      <name val="Calibri"/>
      <family val="2"/>
      <scheme val="minor"/>
    </font>
    <font>
      <u/>
      <sz val="11"/>
      <color theme="10"/>
      <name val="Calibri"/>
      <family val="2"/>
      <scheme val="minor"/>
    </font>
  </fonts>
  <fills count="2">
    <fill>
      <patternFill patternType="none"/>
    </fill>
    <fill>
      <patternFill patternType="gray125"/>
    </fill>
  </fills>
  <borders count="1">
    <border>
      <left/>
      <right/>
      <top/>
      <bottom/>
      <diagonal/>
    </border>
  </borders>
  <cellStyleXfs count="2">
    <xf numFmtId="0" fontId="0" fillId="0" borderId="0"/>
    <xf numFmtId="0" fontId="6" fillId="0" borderId="0" applyNumberFormat="0" applyFill="0" applyBorder="0" applyAlignment="0" applyProtection="0"/>
  </cellStyleXfs>
  <cellXfs count="14">
    <xf numFmtId="0" fontId="0" fillId="0" borderId="0" xfId="0"/>
    <xf numFmtId="0" fontId="1" fillId="0" borderId="0" xfId="0" applyFont="1"/>
    <xf numFmtId="0" fontId="2" fillId="0" borderId="0" xfId="0" applyFont="1"/>
    <xf numFmtId="0" fontId="0" fillId="0" borderId="0" xfId="0" applyAlignment="1">
      <alignment horizontal="left"/>
    </xf>
    <xf numFmtId="0" fontId="1" fillId="0" borderId="0" xfId="0" applyFont="1" applyAlignment="1">
      <alignment horizontal="left"/>
    </xf>
    <xf numFmtId="0" fontId="1" fillId="0" borderId="0" xfId="0" applyFont="1" applyAlignment="1">
      <alignment horizontal="center"/>
    </xf>
    <xf numFmtId="0" fontId="4" fillId="0" borderId="0" xfId="0" applyFont="1"/>
    <xf numFmtId="0" fontId="5" fillId="0" borderId="0" xfId="0" applyFont="1"/>
    <xf numFmtId="0" fontId="6" fillId="0" borderId="0" xfId="1"/>
    <xf numFmtId="0" fontId="6" fillId="0" borderId="0" xfId="1" applyAlignment="1">
      <alignment horizontal="center"/>
    </xf>
    <xf numFmtId="0" fontId="0" fillId="0" borderId="0" xfId="0" applyAlignment="1">
      <alignment horizontal="center"/>
    </xf>
    <xf numFmtId="0" fontId="0" fillId="0" borderId="0" xfId="0" applyAlignment="1" applyProtection="1">
      <alignment horizontal="left"/>
    </xf>
    <xf numFmtId="0" fontId="6" fillId="0" borderId="0" xfId="1" applyAlignment="1" applyProtection="1">
      <alignment horizontal="left"/>
    </xf>
    <xf numFmtId="0" fontId="0" fillId="0" borderId="0" xfId="0" applyProtection="1"/>
  </cellXfs>
  <cellStyles count="2">
    <cellStyle name="Hyperlink" xfId="1" builtinId="8"/>
    <cellStyle name="Normal" xfId="0" builtinId="0"/>
  </cellStyles>
  <dxfs count="6">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
      <font>
        <color rgb="FF006100"/>
      </font>
      <fill>
        <patternFill>
          <bgColor rgb="FFC6EFCE"/>
        </patternFill>
      </fill>
    </dxf>
    <dxf>
      <font>
        <color rgb="FFC00000"/>
      </font>
      <fill>
        <patternFill>
          <bgColor rgb="FFFFCCCC"/>
        </patternFill>
      </fill>
    </dxf>
  </dxfs>
  <tableStyles count="0" defaultTableStyle="TableStyleMedium2" defaultPivotStyle="PivotStyleLight16"/>
  <colors>
    <mruColors>
      <color rgb="FFFFCC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1847850</xdr:colOff>
          <xdr:row>13</xdr:row>
          <xdr:rowOff>9525</xdr:rowOff>
        </xdr:from>
        <xdr:to>
          <xdr:col>4</xdr:col>
          <xdr:colOff>514350</xdr:colOff>
          <xdr:row>15</xdr:row>
          <xdr:rowOff>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000-000002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Method XML 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276225</xdr:colOff>
          <xdr:row>10</xdr:row>
          <xdr:rowOff>9525</xdr:rowOff>
        </xdr:from>
        <xdr:to>
          <xdr:col>11</xdr:col>
          <xdr:colOff>9525</xdr:colOff>
          <xdr:row>11</xdr:row>
          <xdr:rowOff>180975</xdr:rowOff>
        </xdr:to>
        <xdr:sp macro="" textlink="">
          <xdr:nvSpPr>
            <xdr:cNvPr id="10243" name="Button 3" hidden="1">
              <a:extLst>
                <a:ext uri="{63B3BB69-23CF-44E3-9099-C40C66FF867C}">
                  <a14:compatExt spid="_x0000_s10243"/>
                </a:ext>
                <a:ext uri="{FF2B5EF4-FFF2-40B4-BE49-F238E27FC236}">
                  <a16:creationId xmlns:a16="http://schemas.microsoft.com/office/drawing/2014/main" id="{00000000-0008-0000-0000-000003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400" b="0" i="0" u="none" strike="noStrike" baseline="0">
                  <a:solidFill>
                    <a:srgbClr val="000000"/>
                  </a:solidFill>
                  <a:latin typeface="Calibri"/>
                  <a:cs typeface="Calibri"/>
                </a:rPr>
                <a:t>Create Annotation Tables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hyperlink" Target="mailto:bjp@nist.gov"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s://data.nist.gov/od/id/mds2-2387" TargetMode="External"/></Relationships>
</file>

<file path=xl/worksheets/_rels/sheet8.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9.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3.vml"/></Relationships>
</file>

<file path=xl/worksheets/_rels/sheet10.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11.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12.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3.xml.rels><?xml version="1.0" encoding="UTF-8" standalone="yes"?>
<Relationships xmlns="http://schemas.openxmlformats.org/package/2006/relationships"><Relationship Id="rId2" Type="http://schemas.openxmlformats.org/officeDocument/2006/relationships/comments" Target="../comments6.xml"/><Relationship Id="rId1" Type="http://schemas.openxmlformats.org/officeDocument/2006/relationships/vmlDrawing" Target="../drawings/vmlDrawing7.vml"/></Relationships>
</file>

<file path=xl/worksheets/_rels/sheet14.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5.xml.rels><?xml version="1.0" encoding="UTF-8" standalone="yes"?>
<Relationships xmlns="http://schemas.openxmlformats.org/package/2006/relationships"><Relationship Id="rId2" Type="http://schemas.openxmlformats.org/officeDocument/2006/relationships/comments" Target="../comments8.xml"/><Relationship Id="rId1" Type="http://schemas.openxmlformats.org/officeDocument/2006/relationships/vmlDrawing" Target="../drawings/vmlDrawing9.vml"/></Relationships>
</file>

<file path=xl/worksheets/_rels/sheet16.xml.rels><?xml version="1.0" encoding="UTF-8" standalone="yes"?>
<Relationships xmlns="http://schemas.openxmlformats.org/package/2006/relationships"><Relationship Id="rId2" Type="http://schemas.openxmlformats.org/officeDocument/2006/relationships/comments" Target="../comments9.xml"/><Relationship Id="rId1" Type="http://schemas.openxmlformats.org/officeDocument/2006/relationships/vmlDrawing" Target="../drawings/vmlDrawing10.vml"/></Relationships>
</file>

<file path=xl/worksheets/_rels/sheet17.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1.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10949-81AC-4AFC-9466-DE0339095902}">
  <sheetPr codeName="Sheet3"/>
  <dimension ref="A1:C18"/>
  <sheetViews>
    <sheetView tabSelected="1" workbookViewId="0">
      <selection activeCell="O19" sqref="O19"/>
    </sheetView>
  </sheetViews>
  <sheetFormatPr defaultRowHeight="15" x14ac:dyDescent="0.25"/>
  <cols>
    <col min="2" max="2" width="30.140625" customWidth="1"/>
  </cols>
  <sheetData>
    <row r="1" spans="1:3" ht="21" x14ac:dyDescent="0.35">
      <c r="A1" s="7" t="s">
        <v>124</v>
      </c>
    </row>
    <row r="3" spans="1:3" x14ac:dyDescent="0.25">
      <c r="A3" s="1" t="s">
        <v>114</v>
      </c>
    </row>
    <row r="4" spans="1:3" x14ac:dyDescent="0.25">
      <c r="B4" s="1" t="s">
        <v>120</v>
      </c>
      <c r="C4" s="1" t="s">
        <v>121</v>
      </c>
    </row>
    <row r="5" spans="1:3" x14ac:dyDescent="0.25">
      <c r="B5" s="8" t="s">
        <v>115</v>
      </c>
      <c r="C5" t="b">
        <f>IF(COUNTA(Sample_Input!B4:B7)=4, TRUE, FALSE)</f>
        <v>1</v>
      </c>
    </row>
    <row r="6" spans="1:3" x14ac:dyDescent="0.25">
      <c r="B6" s="8" t="s">
        <v>116</v>
      </c>
      <c r="C6" t="b">
        <f>IF(COUNTA(Chromatography_Input!B4:B27)=20,TRUE,FALSE)</f>
        <v>1</v>
      </c>
    </row>
    <row r="7" spans="1:3" x14ac:dyDescent="0.25">
      <c r="B7" s="8" t="s">
        <v>117</v>
      </c>
      <c r="C7" t="b">
        <f>IF(COUNTA('Mass Spectrometry_Input'!B4:B20)&gt;13, TRUE, FALSE)</f>
        <v>1</v>
      </c>
    </row>
    <row r="8" spans="1:3" x14ac:dyDescent="0.25">
      <c r="B8" s="8" t="s">
        <v>118</v>
      </c>
      <c r="C8" t="b">
        <f>IF(COUNTA('QC Method_Input'!B4:B8)=5, TRUE, FALSE)</f>
        <v>1</v>
      </c>
    </row>
    <row r="9" spans="1:3" x14ac:dyDescent="0.25">
      <c r="B9" s="8" t="s">
        <v>119</v>
      </c>
      <c r="C9" t="b">
        <f>IF(COUNTA(Peaks_Input!A4:G1048576) = 0, FALSE, IF(COUNTA(Peaks_Input!A4:G1048576)/7 = COUNTA(Peaks_Input!A4:A1048576),TRUE,FALSE))</f>
        <v>1</v>
      </c>
    </row>
    <row r="11" spans="1:3" x14ac:dyDescent="0.25">
      <c r="A11" s="1" t="s">
        <v>147</v>
      </c>
    </row>
    <row r="12" spans="1:3" x14ac:dyDescent="0.25">
      <c r="B12" t="s">
        <v>149</v>
      </c>
      <c r="C12" t="b">
        <v>1</v>
      </c>
    </row>
    <row r="14" spans="1:3" x14ac:dyDescent="0.25">
      <c r="A14" s="1" t="s">
        <v>146</v>
      </c>
    </row>
    <row r="17" spans="1:2" x14ac:dyDescent="0.25">
      <c r="A17" s="1" t="s">
        <v>148</v>
      </c>
    </row>
    <row r="18" spans="1:2" x14ac:dyDescent="0.25">
      <c r="B18" t="s">
        <v>122</v>
      </c>
    </row>
  </sheetData>
  <sheetProtection sheet="1" objects="1" scenarios="1"/>
  <protectedRanges>
    <protectedRange sqref="C12" name="tables"/>
  </protectedRanges>
  <conditionalFormatting sqref="C5">
    <cfRule type="cellIs" dxfId="5" priority="5" operator="equal">
      <formula>FALSE</formula>
    </cfRule>
    <cfRule type="containsText" dxfId="4" priority="11" operator="containsText" text="TRUE">
      <formula>NOT(ISERROR(SEARCH("TRUE",C5)))</formula>
    </cfRule>
  </conditionalFormatting>
  <conditionalFormatting sqref="C6:C9">
    <cfRule type="cellIs" dxfId="3" priority="3" operator="equal">
      <formula>FALSE</formula>
    </cfRule>
    <cfRule type="containsText" dxfId="2" priority="4" operator="containsText" text="TRUE">
      <formula>NOT(ISERROR(SEARCH("TRUE",C6)))</formula>
    </cfRule>
  </conditionalFormatting>
  <conditionalFormatting sqref="C12">
    <cfRule type="cellIs" dxfId="1" priority="1" operator="equal">
      <formula>FALSE</formula>
    </cfRule>
    <cfRule type="containsText" dxfId="0" priority="2" operator="containsText" text="TRUE">
      <formula>NOT(ISERROR(SEARCH("TRUE",C12)))</formula>
    </cfRule>
  </conditionalFormatting>
  <hyperlinks>
    <hyperlink ref="B5" location="Sample_Input!A1" display="Sample_Input" xr:uid="{B272AF54-B3D5-41AB-83AD-BE37AC8A7169}"/>
    <hyperlink ref="B6" location="Chromatography_Input!A1" display="Chromatography_Input" xr:uid="{4AF59F78-92B5-4A30-8D0C-DC14521EA623}"/>
    <hyperlink ref="B7" location="'Mass Spectrometry_Input'!A1" display="Mass Spectrometry_Input" xr:uid="{DFD20BAD-3A97-43F0-82E7-93BED2676025}"/>
    <hyperlink ref="B8" location="'QC Method_Input'!A1" display="QC Method_Input" xr:uid="{7E3B0AC7-6067-4F6B-A447-1AE5B80FF0C6}"/>
    <hyperlink ref="B9" location="Peaks_Input!A1" display="Peaks_Input" xr:uid="{36F0FBE3-DC4E-425C-BBA8-DCEE39027CB9}"/>
  </hyperlink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2" r:id="rId4" name="Button 2">
              <controlPr defaultSize="0" print="0" autoFill="0" autoPict="0" macro="[0]!createXML">
                <anchor moveWithCells="1" sizeWithCells="1">
                  <from>
                    <xdr:col>1</xdr:col>
                    <xdr:colOff>1847850</xdr:colOff>
                    <xdr:row>13</xdr:row>
                    <xdr:rowOff>9525</xdr:rowOff>
                  </from>
                  <to>
                    <xdr:col>4</xdr:col>
                    <xdr:colOff>514350</xdr:colOff>
                    <xdr:row>15</xdr:row>
                    <xdr:rowOff>0</xdr:rowOff>
                  </to>
                </anchor>
              </controlPr>
            </control>
          </mc:Choice>
        </mc:AlternateContent>
        <mc:AlternateContent xmlns:mc="http://schemas.openxmlformats.org/markup-compatibility/2006">
          <mc:Choice Requires="x14">
            <control shapeId="10243" r:id="rId5" name="Button 3">
              <controlPr defaultSize="0" print="0" autoFill="0" autoPict="0" macro="[0]!createAnnotations">
                <anchor moveWithCells="1" sizeWithCells="1">
                  <from>
                    <xdr:col>7</xdr:col>
                    <xdr:colOff>276225</xdr:colOff>
                    <xdr:row>10</xdr:row>
                    <xdr:rowOff>9525</xdr:rowOff>
                  </from>
                  <to>
                    <xdr:col>11</xdr:col>
                    <xdr:colOff>9525</xdr:colOff>
                    <xdr:row>11</xdr:row>
                    <xdr:rowOff>180975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CFAB7E-3CEB-4C00-A929-29550EA60327}">
  <sheetPr codeName="Sheet4"/>
  <dimension ref="A1:D7"/>
  <sheetViews>
    <sheetView workbookViewId="0">
      <selection activeCell="B6" sqref="B6"/>
    </sheetView>
  </sheetViews>
  <sheetFormatPr defaultRowHeight="15" x14ac:dyDescent="0.25"/>
  <cols>
    <col min="1" max="1" width="22.85546875" bestFit="1" customWidth="1"/>
    <col min="2" max="2" width="25.85546875" style="3" bestFit="1" customWidth="1"/>
    <col min="3" max="3" width="23.85546875" style="3" customWidth="1"/>
    <col min="4" max="4" width="12.28515625" bestFit="1" customWidth="1"/>
  </cols>
  <sheetData>
    <row r="1" spans="1:4" ht="18.75" x14ac:dyDescent="0.3">
      <c r="A1" s="2" t="s">
        <v>66</v>
      </c>
    </row>
    <row r="2" spans="1:4" x14ac:dyDescent="0.25">
      <c r="A2" s="1" t="s">
        <v>6</v>
      </c>
    </row>
    <row r="3" spans="1:4" x14ac:dyDescent="0.25">
      <c r="A3" s="1" t="s">
        <v>4</v>
      </c>
      <c r="B3" s="4" t="s">
        <v>3</v>
      </c>
      <c r="C3" s="4"/>
      <c r="D3" s="1" t="s">
        <v>160</v>
      </c>
    </row>
    <row r="4" spans="1:4" x14ac:dyDescent="0.25">
      <c r="A4" t="s">
        <v>67</v>
      </c>
      <c r="B4" s="11" t="s">
        <v>212</v>
      </c>
      <c r="D4" t="s">
        <v>69</v>
      </c>
    </row>
    <row r="5" spans="1:4" x14ac:dyDescent="0.25">
      <c r="A5" t="s">
        <v>68</v>
      </c>
      <c r="B5" s="11" t="s">
        <v>226</v>
      </c>
      <c r="D5" t="s">
        <v>70</v>
      </c>
    </row>
    <row r="6" spans="1:4" x14ac:dyDescent="0.25">
      <c r="A6" t="s">
        <v>71</v>
      </c>
      <c r="B6" s="11" t="s">
        <v>83</v>
      </c>
      <c r="D6" t="s">
        <v>72</v>
      </c>
    </row>
    <row r="7" spans="1:4" x14ac:dyDescent="0.25">
      <c r="A7" t="s">
        <v>255</v>
      </c>
      <c r="B7" s="12" t="s">
        <v>256</v>
      </c>
      <c r="D7" t="s">
        <v>77</v>
      </c>
    </row>
  </sheetData>
  <sheetProtection sheet="1" objects="1" scenarios="1"/>
  <protectedRanges>
    <protectedRange sqref="B4:B7" name="sample"/>
  </protectedRanges>
  <dataValidations count="7">
    <dataValidation allowBlank="1" showErrorMessage="1" promptTitle="File Name" sqref="A4" xr:uid="{7FE3EC26-9BEF-4BBC-833C-40DEAC74FB51}"/>
    <dataValidation allowBlank="1" showErrorMessage="1" promptTitle="Sample Name" sqref="A5" xr:uid="{74469155-4594-4BF5-8EBE-E6C6F5312D62}"/>
    <dataValidation allowBlank="1" showErrorMessage="1" promptTitle="Sample Class" sqref="A6" xr:uid="{A73E1FB3-60AE-4683-9AB2-5439F7163848}"/>
    <dataValidation allowBlank="1" showErrorMessage="1" promptTitle="Submitter Name" sqref="A7" xr:uid="{92410B33-5412-4525-9CF5-46B1838E2B37}"/>
    <dataValidation allowBlank="1" showInputMessage="1" showErrorMessage="1" promptTitle="File Name" prompt="The full name of the raw data file related to the submitted data. Names should match exactly." sqref="B4" xr:uid="{4B1BDAF7-63A2-4648-B455-63E26C5E9DD5}"/>
    <dataValidation allowBlank="1" showInputMessage="1" showErrorMessage="1" promptTitle="Sample name" prompt="User description of the sample, no restrictions on input." sqref="B5" xr:uid="{074476FB-D785-41DB-B232-D3EA1F15A451}"/>
    <dataValidation allowBlank="1" showInputMessage="1" showErrorMessage="1" promptTitle="Submitter By" prompt="Unique identifier for user and/or laboratory that submits the data. Typically user email." sqref="B7" xr:uid="{12BC8847-2E6D-4EE8-9F04-98692FD1CB4C}"/>
  </dataValidations>
  <hyperlinks>
    <hyperlink ref="B7" r:id="rId1" xr:uid="{CB6F0068-D45B-4233-92FF-7DB497609F92}"/>
  </hyperlink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promptTitle="Sample Class" prompt="Type of sample analyzed. Input is restricted." xr:uid="{A4E15227-017E-442D-AB79-07703094E1C1}">
          <x14:formula1>
            <xm:f>Input_Validation!$A$2:$A$15</xm:f>
          </x14:formula1>
          <xm:sqref>B6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13A8B1-FD66-4091-87C5-C4E896AF50C9}">
  <sheetPr codeName="Sheet1"/>
  <dimension ref="A1:F27"/>
  <sheetViews>
    <sheetView workbookViewId="0">
      <selection activeCell="D27" sqref="D27"/>
    </sheetView>
  </sheetViews>
  <sheetFormatPr defaultRowHeight="15" x14ac:dyDescent="0.25"/>
  <cols>
    <col min="1" max="1" width="47.85546875" bestFit="1" customWidth="1"/>
    <col min="2" max="2" width="23" style="3" customWidth="1"/>
    <col min="3" max="3" width="22.28515625" style="3" customWidth="1"/>
    <col min="4" max="4" width="14.7109375" bestFit="1" customWidth="1"/>
  </cols>
  <sheetData>
    <row r="1" spans="1:6" ht="18.75" x14ac:dyDescent="0.3">
      <c r="A1" s="2" t="s">
        <v>0</v>
      </c>
    </row>
    <row r="2" spans="1:6" x14ac:dyDescent="0.25">
      <c r="A2" s="1" t="s">
        <v>6</v>
      </c>
    </row>
    <row r="3" spans="1:6" x14ac:dyDescent="0.25">
      <c r="A3" s="1" t="s">
        <v>4</v>
      </c>
      <c r="B3" s="4" t="s">
        <v>3</v>
      </c>
      <c r="C3" s="4"/>
      <c r="D3" s="1" t="s">
        <v>160</v>
      </c>
    </row>
    <row r="4" spans="1:6" x14ac:dyDescent="0.25">
      <c r="A4" t="s">
        <v>5</v>
      </c>
      <c r="B4" s="11" t="s">
        <v>92</v>
      </c>
      <c r="D4" t="s">
        <v>163</v>
      </c>
    </row>
    <row r="5" spans="1:6" x14ac:dyDescent="0.25">
      <c r="A5" t="s">
        <v>30</v>
      </c>
      <c r="B5" s="11" t="s">
        <v>7</v>
      </c>
      <c r="D5" t="s">
        <v>32</v>
      </c>
    </row>
    <row r="6" spans="1:6" x14ac:dyDescent="0.25">
      <c r="A6" t="s">
        <v>161</v>
      </c>
      <c r="B6" s="11" t="s">
        <v>213</v>
      </c>
      <c r="D6" t="s">
        <v>162</v>
      </c>
    </row>
    <row r="7" spans="1:6" x14ac:dyDescent="0.25">
      <c r="A7" t="s">
        <v>150</v>
      </c>
      <c r="B7" s="11" t="s">
        <v>109</v>
      </c>
      <c r="D7" t="s">
        <v>151</v>
      </c>
    </row>
    <row r="8" spans="1:6" x14ac:dyDescent="0.25">
      <c r="A8" t="s">
        <v>1</v>
      </c>
      <c r="B8" s="11" t="s">
        <v>109</v>
      </c>
      <c r="D8" t="s">
        <v>16</v>
      </c>
    </row>
    <row r="9" spans="1:6" x14ac:dyDescent="0.25">
      <c r="A9" t="s">
        <v>2</v>
      </c>
      <c r="B9" s="11" t="s">
        <v>104</v>
      </c>
      <c r="D9" t="s">
        <v>17</v>
      </c>
    </row>
    <row r="10" spans="1:6" x14ac:dyDescent="0.25">
      <c r="A10" t="s">
        <v>8</v>
      </c>
      <c r="B10" s="11" t="s">
        <v>105</v>
      </c>
      <c r="D10" t="s">
        <v>164</v>
      </c>
    </row>
    <row r="11" spans="1:6" x14ac:dyDescent="0.25">
      <c r="A11" t="s">
        <v>9</v>
      </c>
      <c r="B11" s="11" t="s">
        <v>104</v>
      </c>
      <c r="D11" t="s">
        <v>18</v>
      </c>
      <c r="F11" s="6"/>
    </row>
    <row r="12" spans="1:6" x14ac:dyDescent="0.25">
      <c r="A12" t="s">
        <v>10</v>
      </c>
      <c r="B12" s="11" t="s">
        <v>14</v>
      </c>
      <c r="D12" t="s">
        <v>19</v>
      </c>
    </row>
    <row r="13" spans="1:6" x14ac:dyDescent="0.25">
      <c r="A13" t="s">
        <v>11</v>
      </c>
      <c r="B13" s="11" t="s">
        <v>14</v>
      </c>
      <c r="D13" t="s">
        <v>20</v>
      </c>
    </row>
    <row r="14" spans="1:6" x14ac:dyDescent="0.25">
      <c r="A14" t="s">
        <v>12</v>
      </c>
      <c r="B14" s="11" t="s">
        <v>14</v>
      </c>
      <c r="D14" t="s">
        <v>21</v>
      </c>
    </row>
    <row r="15" spans="1:6" x14ac:dyDescent="0.25">
      <c r="A15" t="s">
        <v>13</v>
      </c>
      <c r="B15" s="11" t="s">
        <v>14</v>
      </c>
      <c r="D15" t="s">
        <v>22</v>
      </c>
    </row>
    <row r="16" spans="1:6" x14ac:dyDescent="0.25">
      <c r="A16" t="s">
        <v>198</v>
      </c>
      <c r="B16" s="11" t="s">
        <v>31</v>
      </c>
      <c r="D16" t="s">
        <v>167</v>
      </c>
    </row>
    <row r="17" spans="1:4" x14ac:dyDescent="0.25">
      <c r="A17" t="s">
        <v>204</v>
      </c>
      <c r="B17" s="11" t="s">
        <v>214</v>
      </c>
      <c r="D17" t="s">
        <v>23</v>
      </c>
    </row>
    <row r="18" spans="1:4" x14ac:dyDescent="0.25">
      <c r="A18" t="s">
        <v>199</v>
      </c>
      <c r="B18" s="11" t="s">
        <v>215</v>
      </c>
      <c r="D18" t="s">
        <v>25</v>
      </c>
    </row>
    <row r="19" spans="1:4" x14ac:dyDescent="0.25">
      <c r="A19" t="s">
        <v>200</v>
      </c>
      <c r="B19" s="11">
        <v>2.1</v>
      </c>
      <c r="D19" t="s">
        <v>26</v>
      </c>
    </row>
    <row r="20" spans="1:4" x14ac:dyDescent="0.25">
      <c r="A20" t="s">
        <v>201</v>
      </c>
      <c r="B20" s="11">
        <v>50</v>
      </c>
      <c r="D20" t="s">
        <v>27</v>
      </c>
    </row>
    <row r="21" spans="1:4" x14ac:dyDescent="0.25">
      <c r="A21" t="s">
        <v>202</v>
      </c>
      <c r="B21" s="11">
        <v>2.7</v>
      </c>
      <c r="D21" t="s">
        <v>28</v>
      </c>
    </row>
    <row r="22" spans="1:4" x14ac:dyDescent="0.25">
      <c r="A22" t="s">
        <v>165</v>
      </c>
      <c r="B22" s="3" t="s">
        <v>14</v>
      </c>
      <c r="D22" t="s">
        <v>166</v>
      </c>
    </row>
    <row r="23" spans="1:4" x14ac:dyDescent="0.25">
      <c r="A23" t="s">
        <v>203</v>
      </c>
      <c r="D23" t="s">
        <v>170</v>
      </c>
    </row>
    <row r="24" spans="1:4" x14ac:dyDescent="0.25">
      <c r="A24" t="s">
        <v>168</v>
      </c>
      <c r="B24" s="3" t="s">
        <v>14</v>
      </c>
      <c r="D24" t="s">
        <v>169</v>
      </c>
    </row>
    <row r="25" spans="1:4" x14ac:dyDescent="0.25">
      <c r="A25" t="s">
        <v>191</v>
      </c>
      <c r="D25" t="s">
        <v>194</v>
      </c>
    </row>
    <row r="26" spans="1:4" x14ac:dyDescent="0.25">
      <c r="A26" t="s">
        <v>192</v>
      </c>
      <c r="D26" t="s">
        <v>195</v>
      </c>
    </row>
    <row r="27" spans="1:4" x14ac:dyDescent="0.25">
      <c r="A27" t="s">
        <v>193</v>
      </c>
      <c r="D27" t="s">
        <v>196</v>
      </c>
    </row>
  </sheetData>
  <sheetProtection sheet="1" objects="1" scenarios="1"/>
  <protectedRanges>
    <protectedRange sqref="B4:B27" name="chromatography"/>
  </protectedRanges>
  <dataValidations count="27">
    <dataValidation allowBlank="1" showErrorMessage="1" promptTitle="Type of Chromatography" sqref="A4" xr:uid="{F9DCDE81-46C3-443B-8BD5-5DA566F264FA}"/>
    <dataValidation allowBlank="1" showErrorMessage="1" promptTitle="Chromatograph Vendor" sqref="A5" xr:uid="{1093E443-B630-4E5F-8AFF-43B56A2D00D7}"/>
    <dataValidation allowBlank="1" showErrorMessage="1" sqref="A8" xr:uid="{F7A7782D-1D7D-49C8-8D3F-0367B25053A8}"/>
    <dataValidation allowBlank="1" showErrorMessage="1" promptTitle="Mobile Phase 2 Solvent" sqref="A10" xr:uid="{CC623E8A-FFC5-4C4E-8BA5-19988213AF99}"/>
    <dataValidation allowBlank="1" showErrorMessage="1" promptTitle="Mobile Phase 3 Solvent" sqref="A12" xr:uid="{D762CC4D-CE0B-477A-825A-C6D7C4E223C2}"/>
    <dataValidation allowBlank="1" showErrorMessage="1" promptTitle="Mobile Phase 4 Solvent" sqref="A14" xr:uid="{504F4ABF-62B8-4A4D-A066-AD12C4E28BF6}"/>
    <dataValidation allowBlank="1" showErrorMessage="1" promptTitle="Mobile Phase 1 Additive" sqref="A9" xr:uid="{E25C8887-8C99-487D-A7C8-C2389BC89AC3}"/>
    <dataValidation allowBlank="1" showErrorMessage="1" promptTitle="Mobile Phase 2 Additive" sqref="A11" xr:uid="{AEAC643B-EFBC-4912-9C27-19A46DDC2208}"/>
    <dataValidation allowBlank="1" showErrorMessage="1" promptTitle="Mobile Phase 3 Additive" sqref="A13" xr:uid="{6AC20B2D-C05F-4CA6-93E0-1B4B14386FD7}"/>
    <dataValidation allowBlank="1" showErrorMessage="1" promptTitle="Mobile Phase 4 Additive" sqref="A15" xr:uid="{AD1A6E9A-9935-4225-BF2B-8DC9BF9171F5}"/>
    <dataValidation allowBlank="1" showErrorMessage="1" promptTitle="Chromatography Column Vendor" sqref="A16" xr:uid="{09015A4C-A8B3-4325-AE84-70762CABAFD2}"/>
    <dataValidation allowBlank="1" showErrorMessage="1" promptTitle="Name of Chromatography Column" sqref="A17" xr:uid="{D8FEE04C-0AC4-42FF-B7CE-A8EE838E5966}"/>
    <dataValidation allowBlank="1" showErrorMessage="1" promptTitle="Column phase" sqref="A18" xr:uid="{46321A32-1616-4D08-A185-2687955DC0DA}"/>
    <dataValidation allowBlank="1" showErrorMessage="1" promptTitle="Column Inner Diameter" sqref="A19" xr:uid="{6172C91F-25E6-4960-98C9-84AE9AA491AB}"/>
    <dataValidation allowBlank="1" showInputMessage="1" showErrorMessage="1" promptTitle="Column Length" sqref="A20" xr:uid="{5057E367-42B7-4882-AC35-2181FF17E8B7}"/>
    <dataValidation allowBlank="1" showErrorMessage="1" promptTitle="Particle Diameter/Film Thickness" prompt="." sqref="A21" xr:uid="{141F0105-DA38-4786-B21D-3042E6E0D34E}"/>
    <dataValidation type="decimal" allowBlank="1" showInputMessage="1" showErrorMessage="1" promptTitle="Column Inner Diameter" prompt="Inner diameter (ID) of the analytical column. For liquid chromatography, use mm units for inner diameter. For gas chromatography/capillary electrophoresis, us μm units for inner diameter." sqref="B19" xr:uid="{CA262829-3594-4B11-9023-E2EC92D54E4F}">
      <formula1>0</formula1>
      <formula2>10</formula2>
    </dataValidation>
    <dataValidation type="decimal" allowBlank="1" showInputMessage="1" showErrorMessage="1" promptTitle="Column length" prompt="Length (L) of the analytical column. For liquid chromatography and capillary electrophoresis, use mm units for length. For gas chromatography, use m units for length." sqref="B20" xr:uid="{517D2000-591B-4BF9-858C-0469DE47B5E1}">
      <formula1>0</formula1>
      <formula2>500</formula2>
    </dataValidation>
    <dataValidation type="decimal" allowBlank="1" showInputMessage="1" showErrorMessage="1" prompt="For liquid chromatography, use the particle diameter (dp in μm) of the stationary phase particles of the analytical column. For gas chromatography and capillary electrophoresis, use film thickness (in μm) if applicable" sqref="B21" xr:uid="{88B360AE-46B9-4BCE-A561-B4574B64F1A0}">
      <formula1>0</formula1>
      <formula2>100</formula2>
    </dataValidation>
    <dataValidation allowBlank="1" showErrorMessage="1" promptTitle="Sample Solvent" sqref="A7" xr:uid="{40C7E43A-13CA-4891-A399-3FC28BFEBF07}"/>
    <dataValidation allowBlank="1" showErrorMessage="1" promptTitle="Chromatograph Model" sqref="A6" xr:uid="{EF756C81-6CC6-43E7-8C66-E20F01E4C412}"/>
    <dataValidation allowBlank="1" showInputMessage="1" showErrorMessage="1" promptTitle="Model" prompt="Model Name of the chromatograph used" sqref="B6" xr:uid="{BB8F9ED0-2D2E-4FDE-86BF-B3A7DC55027E}"/>
    <dataValidation allowBlank="1" showInputMessage="1" showErrorMessage="1" promptTitle="Column Brand" prompt="Vendor brand name of the column/stationary phase for the analytical column" sqref="B17" xr:uid="{31470200-4A14-47D5-B6F5-B48887630E8F}"/>
    <dataValidation type="decimal" allowBlank="1" showInputMessage="1" showErrorMessage="1" prompt="For liquid chromatography, use the particle diameter (dp in μm) of the stationary phase particles of the guard column. For gas chromatography and capillary electrophoresis, use film thickness (in μm) if applicable. Leave blank if not used." sqref="B27" xr:uid="{BB898DED-19A1-41E1-9B22-E31A1425ABE9}">
      <formula1>0</formula1>
      <formula2>100</formula2>
    </dataValidation>
    <dataValidation allowBlank="1" showInputMessage="1" showErrorMessage="1" promptTitle="Guard Column Brand" prompt="Vendor brand name of the column/stationary phase for the brand column, leave blank if not used" sqref="B23" xr:uid="{6AE39E50-E432-4447-8D72-61A23AACD826}"/>
    <dataValidation type="decimal" allowBlank="1" showInputMessage="1" showErrorMessage="1" promptTitle="Guard Column Inner Diameter" prompt="Inner diameter (ID) of the guard column. For liquid chromatography, use mm units for inner diameter. For gas chromatography/capillary electrophoresis, us μm units for inner diameter. Leave blank if not used." sqref="B25" xr:uid="{9ADB23A1-9BE2-4803-8DEE-4D9794929DA0}">
      <formula1>0</formula1>
      <formula2>10</formula2>
    </dataValidation>
    <dataValidation type="decimal" allowBlank="1" showInputMessage="1" showErrorMessage="1" promptTitle="Guard Column Length" prompt="Length (L) of the analytical column. For liquid chromatography and capillary electrophoresis, use mm units for length. For gas chromatography, use m units for length. Leave blank if not used." sqref="B26" xr:uid="{A556613B-B223-4F39-9307-76B27D7A8D1A}">
      <formula1>0</formula1>
      <formula2>500</formula2>
    </dataValidation>
  </dataValidations>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5">
        <x14:dataValidation type="list" showInputMessage="1" showErrorMessage="1" promptTitle="Chromatography Type" prompt="Type of Chromatography used for method." xr:uid="{9311FB33-49DB-44BD-A094-E7622D07CDC9}">
          <x14:formula1>
            <xm:f>Input_Validation!$B$2:$B$5</xm:f>
          </x14:formula1>
          <xm:sqref>B4</xm:sqref>
        </x14:dataValidation>
        <x14:dataValidation type="list" allowBlank="1" showInputMessage="1" showErrorMessage="1" promptTitle="Vendor" prompt="Vendor/Manufacturer of the chromatograph used" xr:uid="{29D12A2E-DA82-4046-9B22-148D237AE686}">
          <x14:formula1>
            <xm:f>Input_Validation!$C$2:$C$8</xm:f>
          </x14:formula1>
          <xm:sqref>B5</xm:sqref>
        </x14:dataValidation>
        <x14:dataValidation type="list" allowBlank="1" showInputMessage="1" showErrorMessage="1" promptTitle="Mobile Phase 4 Solvent" prompt="The primary solvent component (&gt;= 50 %)of the chromatography mobile phase 4 (mobile phase D). Use 'none' if using GC or no chromatography." xr:uid="{6AE99EE7-85EF-48FD-A728-AEAB7AD4977A}">
          <x14:formula1>
            <xm:f>Input_Validation!$D$2:$D$10</xm:f>
          </x14:formula1>
          <xm:sqref>B14</xm:sqref>
        </x14:dataValidation>
        <x14:dataValidation type="list" allowBlank="1" showInputMessage="1" showErrorMessage="1" promptTitle="Mobile Phase 4 Additive" prompt="The primary buffer/acid/base additive used in mobile phase 4 (mobile phase D)" xr:uid="{B7D6AF27-8908-4CF2-8047-402C9F9C2657}">
          <x14:formula1>
            <xm:f>Input_Validation!$E$2:$E$8</xm:f>
          </x14:formula1>
          <xm:sqref>B15</xm:sqref>
        </x14:dataValidation>
        <x14:dataValidation type="list" allowBlank="1" showInputMessage="1" showErrorMessage="1" promptTitle="Analytical Column Vendor" prompt="Vendor/Manufacturer of the analytical column" xr:uid="{431EC0AB-86BC-478F-98A2-3E3D6276A257}">
          <x14:formula1>
            <xm:f>Input_Validation!$F$2:$F$9</xm:f>
          </x14:formula1>
          <xm:sqref>B16</xm:sqref>
        </x14:dataValidation>
        <x14:dataValidation type="list" allowBlank="1" showInputMessage="1" showErrorMessage="1" promptTitle="Column Phase" prompt="Stationary phase chemistry/ligand of the chromatography column" xr:uid="{80A6C499-54C2-48AD-A17B-4683DD0D6C80}">
          <x14:formula1>
            <xm:f>Input_Validation!$G$2:$G$10</xm:f>
          </x14:formula1>
          <xm:sqref>B18</xm:sqref>
        </x14:dataValidation>
        <x14:dataValidation type="list" allowBlank="1" showInputMessage="1" showErrorMessage="1" promptTitle="Sample Solvent" prompt="Primary solvent consistuent of the sample, as injected." xr:uid="{92920B20-62E2-48A1-A5CA-97AF65EB0D87}">
          <x14:formula1>
            <xm:f>Input_Validation!$D$2:$D$10</xm:f>
          </x14:formula1>
          <xm:sqref>B7</xm:sqref>
        </x14:dataValidation>
        <x14:dataValidation type="list" allowBlank="1" showInputMessage="1" showErrorMessage="1" promptTitle="Mobile Phase 1 Solvent" prompt="The primary solvent component (&gt;= 50 %)of the chromatography mobile phase 1 (mobile phase A). Use 'none' if using GC or no chromatography." xr:uid="{1175741F-071A-4C89-B80A-7B34A57C94C6}">
          <x14:formula1>
            <xm:f>Input_Validation!$D$2:$D$10</xm:f>
          </x14:formula1>
          <xm:sqref>B8</xm:sqref>
        </x14:dataValidation>
        <x14:dataValidation type="list" allowBlank="1" showInputMessage="1" showErrorMessage="1" promptTitle="Mobile Phase 1 Additive" prompt="The primary buffer/acid/base additive used in mobile phase 1 (mobile phase A)" xr:uid="{D1C1479A-1363-4DCB-8DDE-36CE13FED69D}">
          <x14:formula1>
            <xm:f>Input_Validation!$E$2:$E$8</xm:f>
          </x14:formula1>
          <xm:sqref>B9</xm:sqref>
        </x14:dataValidation>
        <x14:dataValidation type="list" allowBlank="1" showInputMessage="1" showErrorMessage="1" promptTitle="Mobile Phase 2 Solvent" prompt="The primary solvent component (&gt;= 50 %)of the chromatography mobile phase 2 (mobile phase B). Use 'none' if using GC or no chromatography." xr:uid="{2A602AF6-DE91-4BC8-89D5-0C28B0BF3853}">
          <x14:formula1>
            <xm:f>Input_Validation!$D$2:$D$10</xm:f>
          </x14:formula1>
          <xm:sqref>B10</xm:sqref>
        </x14:dataValidation>
        <x14:dataValidation type="list" allowBlank="1" showInputMessage="1" showErrorMessage="1" promptTitle="Mobile Phase 3 Solvent" prompt="The primary solvent component (&gt;= 50 %)of the chromatography mobile phase 3 (mobile phase C). Use 'none' if using GC or no chromatography." xr:uid="{D5020F13-014F-4448-90B2-14EF94E985F6}">
          <x14:formula1>
            <xm:f>Input_Validation!$D$2:$D$10</xm:f>
          </x14:formula1>
          <xm:sqref>B12</xm:sqref>
        </x14:dataValidation>
        <x14:dataValidation type="list" allowBlank="1" showInputMessage="1" showErrorMessage="1" promptTitle="Mobile Phase 3 Additive" prompt="The primary buffer/acid/base additive used in mobile phase 3 (mobile phase C)" xr:uid="{6D5DCCC1-7A3F-4F9F-A542-5C2477B786CC}">
          <x14:formula1>
            <xm:f>Input_Validation!$E$2:$E$8</xm:f>
          </x14:formula1>
          <xm:sqref>B13</xm:sqref>
        </x14:dataValidation>
        <x14:dataValidation type="list" allowBlank="1" showInputMessage="1" showErrorMessage="1" promptTitle="Guard Column Vendor" prompt="Vendor/Manufacturer of the guard column, use &quot;none&quot; if not used." xr:uid="{B40DD21D-3E11-48F4-92D5-A84FD64CFC4F}">
          <x14:formula1>
            <xm:f>Input_Validation!$H$2:$H$10</xm:f>
          </x14:formula1>
          <xm:sqref>B22</xm:sqref>
        </x14:dataValidation>
        <x14:dataValidation type="list" allowBlank="1" showInputMessage="1" showErrorMessage="1" promptTitle="Column Phase" prompt="Stationary phase chemistry/ligand of the chromatography column, use 'none' if not used." xr:uid="{0501D552-90E0-4EB4-B750-7CCA8BFA05F1}">
          <x14:formula1>
            <xm:f>Input_Validation!$I$2:$I$10</xm:f>
          </x14:formula1>
          <xm:sqref>B24</xm:sqref>
        </x14:dataValidation>
        <x14:dataValidation type="list" allowBlank="1" showInputMessage="1" showErrorMessage="1" promptTitle="Mobile Phase 2 Additive" prompt="The primary buffer/acid/base additive used in mobile phase 2 (mobile phase B)" xr:uid="{321EAF13-642D-4895-AB23-FA3F33720C3A}">
          <x14:formula1>
            <xm:f>Input_Validation!$E$2:$E$1048576</xm:f>
          </x14:formula1>
          <xm:sqref>B11</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F9FF2-431A-40FC-B169-F0026EF060BD}">
  <sheetPr codeName="Sheet5"/>
  <dimension ref="A1:D20"/>
  <sheetViews>
    <sheetView workbookViewId="0">
      <selection activeCell="B20" sqref="B20"/>
    </sheetView>
  </sheetViews>
  <sheetFormatPr defaultRowHeight="15" x14ac:dyDescent="0.25"/>
  <cols>
    <col min="1" max="1" width="34.5703125" bestFit="1" customWidth="1"/>
    <col min="2" max="2" width="38.7109375" style="3" bestFit="1" customWidth="1"/>
    <col min="3" max="3" width="22.28515625" style="3" customWidth="1"/>
    <col min="4" max="4" width="14" bestFit="1" customWidth="1"/>
  </cols>
  <sheetData>
    <row r="1" spans="1:4" ht="18.75" x14ac:dyDescent="0.3">
      <c r="A1" s="2" t="s">
        <v>33</v>
      </c>
    </row>
    <row r="2" spans="1:4" x14ac:dyDescent="0.25">
      <c r="A2" s="1" t="s">
        <v>6</v>
      </c>
    </row>
    <row r="3" spans="1:4" x14ac:dyDescent="0.25">
      <c r="A3" s="1" t="s">
        <v>4</v>
      </c>
      <c r="B3" s="4" t="s">
        <v>3</v>
      </c>
      <c r="C3" s="4"/>
      <c r="D3" s="1" t="s">
        <v>160</v>
      </c>
    </row>
    <row r="4" spans="1:4" x14ac:dyDescent="0.25">
      <c r="A4" t="s">
        <v>34</v>
      </c>
      <c r="B4" s="11" t="s">
        <v>7</v>
      </c>
      <c r="D4" t="s">
        <v>159</v>
      </c>
    </row>
    <row r="5" spans="1:4" x14ac:dyDescent="0.25">
      <c r="A5" t="s">
        <v>157</v>
      </c>
      <c r="B5" s="11" t="s">
        <v>216</v>
      </c>
      <c r="D5" t="s">
        <v>158</v>
      </c>
    </row>
    <row r="6" spans="1:4" x14ac:dyDescent="0.25">
      <c r="A6" t="s">
        <v>35</v>
      </c>
      <c r="B6" s="11" t="s">
        <v>36</v>
      </c>
      <c r="D6" t="s">
        <v>37</v>
      </c>
    </row>
    <row r="7" spans="1:4" x14ac:dyDescent="0.25">
      <c r="A7" t="s">
        <v>38</v>
      </c>
      <c r="B7" s="11" t="s">
        <v>39</v>
      </c>
      <c r="D7" t="s">
        <v>40</v>
      </c>
    </row>
    <row r="8" spans="1:4" x14ac:dyDescent="0.25">
      <c r="A8" t="s">
        <v>41</v>
      </c>
      <c r="B8" s="11">
        <v>2500</v>
      </c>
      <c r="D8" t="s">
        <v>42</v>
      </c>
    </row>
    <row r="9" spans="1:4" x14ac:dyDescent="0.25">
      <c r="A9" t="s">
        <v>43</v>
      </c>
      <c r="B9" s="11" t="s">
        <v>44</v>
      </c>
      <c r="D9" t="s">
        <v>45</v>
      </c>
    </row>
    <row r="10" spans="1:4" x14ac:dyDescent="0.25">
      <c r="A10" t="s">
        <v>46</v>
      </c>
      <c r="B10" s="11" t="s">
        <v>47</v>
      </c>
      <c r="D10" t="s">
        <v>48</v>
      </c>
    </row>
    <row r="11" spans="1:4" x14ac:dyDescent="0.25">
      <c r="A11" t="s">
        <v>49</v>
      </c>
      <c r="B11" s="11" t="s">
        <v>50</v>
      </c>
      <c r="D11" t="s">
        <v>51</v>
      </c>
    </row>
    <row r="12" spans="1:4" x14ac:dyDescent="0.25">
      <c r="A12" t="s">
        <v>205</v>
      </c>
      <c r="B12" s="11" t="s">
        <v>52</v>
      </c>
      <c r="D12" t="s">
        <v>53</v>
      </c>
    </row>
    <row r="13" spans="1:4" x14ac:dyDescent="0.25">
      <c r="A13" t="s">
        <v>208</v>
      </c>
      <c r="B13" s="11">
        <v>30</v>
      </c>
      <c r="D13" t="s">
        <v>55</v>
      </c>
    </row>
    <row r="14" spans="1:4" x14ac:dyDescent="0.25">
      <c r="A14" t="s">
        <v>207</v>
      </c>
      <c r="B14" s="11" t="s">
        <v>145</v>
      </c>
      <c r="D14" t="s">
        <v>15</v>
      </c>
    </row>
    <row r="15" spans="1:4" x14ac:dyDescent="0.25">
      <c r="A15" t="s">
        <v>209</v>
      </c>
      <c r="B15" s="11" t="s">
        <v>143</v>
      </c>
      <c r="D15" t="s">
        <v>58</v>
      </c>
    </row>
    <row r="16" spans="1:4" x14ac:dyDescent="0.25">
      <c r="A16" t="s">
        <v>73</v>
      </c>
      <c r="B16" s="11" t="s">
        <v>140</v>
      </c>
      <c r="D16" t="s">
        <v>74</v>
      </c>
    </row>
    <row r="17" spans="1:4" x14ac:dyDescent="0.25">
      <c r="A17" t="s">
        <v>75</v>
      </c>
      <c r="B17" s="11">
        <v>0.7</v>
      </c>
      <c r="D17" t="s">
        <v>76</v>
      </c>
    </row>
    <row r="18" spans="1:4" x14ac:dyDescent="0.25">
      <c r="A18" t="s">
        <v>210</v>
      </c>
      <c r="B18" s="11">
        <v>5</v>
      </c>
      <c r="D18" t="s">
        <v>152</v>
      </c>
    </row>
    <row r="19" spans="1:4" x14ac:dyDescent="0.25">
      <c r="A19" t="s">
        <v>153</v>
      </c>
      <c r="B19" s="11">
        <v>70000</v>
      </c>
      <c r="D19" t="s">
        <v>155</v>
      </c>
    </row>
    <row r="20" spans="1:4" x14ac:dyDescent="0.25">
      <c r="A20" t="s">
        <v>154</v>
      </c>
      <c r="B20" s="11">
        <v>17500</v>
      </c>
      <c r="D20" t="s">
        <v>156</v>
      </c>
    </row>
  </sheetData>
  <sheetProtection sheet="1" objects="1" scenarios="1"/>
  <protectedRanges>
    <protectedRange sqref="B4:B20" name="mass spectrometry"/>
  </protectedRanges>
  <dataValidations count="24">
    <dataValidation allowBlank="1" showErrorMessage="1" promptTitle="Vendor of Mass Spectrometer" sqref="A4" xr:uid="{AB3706B0-9387-4880-A49D-D16082DE7FB5}"/>
    <dataValidation allowBlank="1" showErrorMessage="1" promptTitle="Ionization Mode" sqref="A6" xr:uid="{17CAC4F6-F2D1-4AC0-B0FE-26B48990EC6C}"/>
    <dataValidation allowBlank="1" showErrorMessage="1" promptTitle="Ionization Polarity" sqref="A7" xr:uid="{A0E98779-AFBB-484D-A1A6-C643D92D422D}"/>
    <dataValidation allowBlank="1" showInputMessage="1" showErrorMessage="1" promptTitle="Ionization Voltage/Current" sqref="A8" xr:uid="{13D51DB7-F678-40D6-AAB1-981D28A1E597}"/>
    <dataValidation allowBlank="1" showInputMessage="1" showErrorMessage="1" promptTitle="Units of ionization voltage/curr" sqref="A9" xr:uid="{A33186FB-0F18-4471-B488-4AB815C081E6}"/>
    <dataValidation allowBlank="1" showInputMessage="1" showErrorMessage="1" promptTitle="First mass analyzer" sqref="A10" xr:uid="{D49C04F7-EED0-403F-A817-FE23C657D10B}"/>
    <dataValidation allowBlank="1" showInputMessage="1" showErrorMessage="1" promptTitle="Last Mass Analyzer" sqref="A11" xr:uid="{515043A1-101B-4350-B4E6-9D4E7FA0855F}"/>
    <dataValidation allowBlank="1" showInputMessage="1" showErrorMessage="1" promptTitle="Collision Cell Type" sqref="A12" xr:uid="{ACD9D73E-6F0A-4445-8433-E942A4A28E10}"/>
    <dataValidation allowBlank="1" showErrorMessage="1" promptTitle="Fragmentation/Collision Energy" sqref="A13" xr:uid="{99CFDF53-2F7E-4856-810C-24BC7B53F445}"/>
    <dataValidation allowBlank="1" showInputMessage="1" showErrorMessage="1" promptTitle="Type of Fragmentation/Collision " sqref="A14" xr:uid="{8A8BD610-85A6-4F51-B828-E58D9B44F8BC}"/>
    <dataValidation allowBlank="1" showErrorMessage="1" promptTitle="F/CE Units" sqref="A15" xr:uid="{44FA1DE5-7137-4C2E-B514-35BD22E1BEA2}"/>
    <dataValidation allowBlank="1" showErrorMessage="1" promptTitle="MS2 Experiment Type" sqref="A16" xr:uid="{F6ABF1FB-A492-4271-9A77-8F638FD92FFC}"/>
    <dataValidation allowBlank="1" showErrorMessage="1" promptTitle="Isolation Width/Window" sqref="A17" xr:uid="{5628A615-D224-49BC-B979-F79B18A50BC7}"/>
    <dataValidation type="decimal" allowBlank="1" showInputMessage="1" showErrorMessage="1" promptTitle="Voltage/Current" prompt="Voltage/current applied for ionization, use below cell to indicate units." sqref="B8" xr:uid="{35095733-7E26-4C6D-A35B-D0C3E6DFE5CE}">
      <formula1>0</formula1>
      <formula2>10000</formula2>
    </dataValidation>
    <dataValidation allowBlank="1" showErrorMessage="1" promptTitle="Instrument Accuracy" sqref="A18" xr:uid="{F4E86A4B-9A81-44AF-90FF-F25F84A8723D}"/>
    <dataValidation allowBlank="1" showInputMessage="1" showErrorMessage="1" promptTitle="MS1 Resolution" sqref="A19" xr:uid="{77C4FC3E-3DA1-442C-B04D-E44F3BECA3F9}"/>
    <dataValidation allowBlank="1" showErrorMessage="1" promptTitle="MS2 Resolution" prompt="The resolution setting for the MS2 experiment" sqref="A20" xr:uid="{A9142055-A57C-4F61-8090-30D840B107A9}"/>
    <dataValidation allowBlank="1" showErrorMessage="1" promptTitle="Model of Mass Spectrometer" sqref="A5" xr:uid="{83D102FC-519E-4E7A-BAF0-C0D16E448652}"/>
    <dataValidation allowBlank="1" showInputMessage="1" showErrorMessage="1" promptTitle="MS Model" prompt="Model name of the mass spectrometer used." sqref="B5" xr:uid="{23DD9494-B398-4A05-8F2D-926E0427AF29}"/>
    <dataValidation allowBlank="1" showInputMessage="1" showErrorMessage="1" promptTitle="Fragmentation Energy" prompt="Value of the fragmentation or collision energy used in the collision cell, if ranged/stepped separate values with semicolon (;). Indicate units below." sqref="B13" xr:uid="{4C9AA417-D37B-4FA1-BEEE-8C9E1B10486E}"/>
    <dataValidation allowBlank="1" showInputMessage="1" showErrorMessage="1" promptTitle="Isolation Width" prompt="For TopN/DDA, the isolation width of the first mass analyzer (in Da)_x000a_For SWATH, the sequential window width of the first mass analyzer (in Da)_x000a_For AIF/DIA, leave cell blank" sqref="B17" xr:uid="{1622E7C0-BDAC-4131-B103-A3D6864D6357}"/>
    <dataValidation allowBlank="1" showInputMessage="1" showErrorMessage="1" promptTitle="Mass Accuracy" prompt="The mass accuracy of the instrument (in ppm)" sqref="B18" xr:uid="{9A409CE0-DEB4-4FF0-AF3F-8CF498A46B3A}"/>
    <dataValidation allowBlank="1" showInputMessage="1" showErrorMessage="1" promptTitle="MS1 Resolution" prompt="The resolution setting for the MS1 experiment." sqref="B19" xr:uid="{953D9765-1F16-4D83-8DDF-523098792D43}"/>
    <dataValidation allowBlank="1" showInputMessage="1" showErrorMessage="1" prompt="The resolution setting for the MS2 experiment. Leave blank if MS2 was not performed." sqref="B20" xr:uid="{98C99FC3-A7EF-4E00-83E2-E5A682ECE208}"/>
  </dataValidations>
  <pageMargins left="0.7" right="0.7" top="0.75" bottom="0.75" header="0.3" footer="0.3"/>
  <extLst>
    <ext xmlns:x14="http://schemas.microsoft.com/office/spreadsheetml/2009/9/main" uri="{CCE6A557-97BC-4b89-ADB6-D9C93CAAB3DF}">
      <x14:dataValidations xmlns:xm="http://schemas.microsoft.com/office/excel/2006/main" count="10">
        <x14:dataValidation type="list" allowBlank="1" showInputMessage="1" showErrorMessage="1" promptTitle="Polarity" prompt="Polarity of the ionization for the submitted compounds (one ionization polarity per submission)." xr:uid="{330F47BF-6B64-4615-B655-AF90111B38CC}">
          <x14:formula1>
            <xm:f>Input_Validation!$L$2:$L$3</xm:f>
          </x14:formula1>
          <xm:sqref>B7</xm:sqref>
        </x14:dataValidation>
        <x14:dataValidation type="list" allowBlank="1" showInputMessage="1" showErrorMessage="1" promptTitle="MS Vendor" prompt="Vendor/Manufacturer of the mass spectrometer used." xr:uid="{D03EF809-9F0E-463C-969F-9391E077A0CD}">
          <x14:formula1>
            <xm:f>Input_Validation!$J$2:$J$7</xm:f>
          </x14:formula1>
          <xm:sqref>B4</xm:sqref>
        </x14:dataValidation>
        <x14:dataValidation type="list" allowBlank="1" showInputMessage="1" showErrorMessage="1" promptTitle="Ionization Mode" prompt="Mode of ionization of the mass spectrometer." xr:uid="{F649D416-F51F-45E1-986B-64AF9B9D743C}">
          <x14:formula1>
            <xm:f>Input_Validation!$K$2:$K$6</xm:f>
          </x14:formula1>
          <xm:sqref>B6</xm:sqref>
        </x14:dataValidation>
        <x14:dataValidation type="list" allowBlank="1" showInputMessage="1" showErrorMessage="1" promptTitle="Voltage/Current units" prompt="Units for the above-noted ionization voltage or current." xr:uid="{BEA77C32-33A9-4B84-AF93-6D37403A3FE8}">
          <x14:formula1>
            <xm:f>Input_Validation!$M$2:$M$6</xm:f>
          </x14:formula1>
          <xm:sqref>B9</xm:sqref>
        </x14:dataValidation>
        <x14:dataValidation type="list" allowBlank="1" showInputMessage="1" showErrorMessage="1" promptTitle="Second Mass Analyzer" prompt="Last mass analyzer in the mass spectrometer. Use 'none' if only one mass analyzer was used." xr:uid="{10274ED4-512F-459F-9E10-35A9CBE99FA9}">
          <x14:formula1>
            <xm:f>Input_Validation!$N$2:$N$8</xm:f>
          </x14:formula1>
          <xm:sqref>B11</xm:sqref>
        </x14:dataValidation>
        <x14:dataValidation type="list" allowBlank="1" showInputMessage="1" showErrorMessage="1" promptTitle="First Mass Analyzer" prompt="First mass analyzer in the mass spectrometer." xr:uid="{7B8A84FF-C74C-4820-B1EE-D6D26356737B}">
          <x14:formula1>
            <xm:f>Input_Validation!$N$3:$N$8</xm:f>
          </x14:formula1>
          <xm:sqref>B10</xm:sqref>
        </x14:dataValidation>
        <x14:dataValidation type="list" allowBlank="1" showInputMessage="1" showErrorMessage="1" promptTitle="Fragmentation Type" prompt="Type of fragmentation (or collisional dissociation) used for the generation of fragments." xr:uid="{592DEA97-875F-4FA3-BFE4-0F7F320D1FB8}">
          <x14:formula1>
            <xm:f>Input_Validation!$O$2:$O$5</xm:f>
          </x14:formula1>
          <xm:sqref>B12</xm:sqref>
        </x14:dataValidation>
        <x14:dataValidation type="list" allowBlank="1" showInputMessage="1" showErrorMessage="1" promptTitle="Fragmentation Energy Type" prompt="Type of fragmentation/collision energy used for mass spectrometer. If a stepped/ranged collision energy is used, select &quot;Stepped&quot;, all other types select &quot;Fixed&quot;" xr:uid="{B4F92911-12A9-4597-8E45-92CD19A05BB9}">
          <x14:formula1>
            <xm:f>Input_Validation!$P$2:$P$3</xm:f>
          </x14:formula1>
          <xm:sqref>B14</xm:sqref>
        </x14:dataValidation>
        <x14:dataValidation type="list" allowBlank="1" showInputMessage="1" showErrorMessage="1" promptTitle="Fragmentation energy units." prompt="Units of the fragmentation/collision energy value above." xr:uid="{1DA3AEE0-3A29-4C5B-B0C2-34D75E993A53}">
          <x14:formula1>
            <xm:f>Input_Validation!$Q$2:$Q$3</xm:f>
          </x14:formula1>
          <xm:sqref>B15</xm:sqref>
        </x14:dataValidation>
        <x14:dataValidation type="list" allowBlank="1" showInputMessage="1" showErrorMessage="1" promptTitle="MS2 Experiment" prompt="Type of fragmentation (MS2) experiment._x000a_Data Dependent Analysis (DDA), also called TopN_x000a_SWATH - Sequential Windows of All Theoretical Mass Spectra_x000a_Data Independent Analysis (DIA), also called All Ion Fragmentation (AIF), MSe. Use 'none' for in-source frag" xr:uid="{31572AAB-ACBB-439E-B48A-B9225FC1F34C}">
          <x14:formula1>
            <xm:f>Input_Validation!$R$2:$R$5</xm:f>
          </x14:formula1>
          <xm:sqref>B16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756CCF-8BEC-42AF-A631-2EDAB30E3D22}">
  <sheetPr codeName="Sheet6"/>
  <dimension ref="A1:D8"/>
  <sheetViews>
    <sheetView workbookViewId="0">
      <selection activeCell="B4" sqref="B4"/>
    </sheetView>
  </sheetViews>
  <sheetFormatPr defaultRowHeight="15" x14ac:dyDescent="0.25"/>
  <cols>
    <col min="1" max="1" width="28" bestFit="1" customWidth="1"/>
    <col min="2" max="2" width="22.28515625" style="3" bestFit="1" customWidth="1"/>
    <col min="3" max="3" width="22.28515625" style="3" customWidth="1"/>
    <col min="4" max="4" width="14.5703125" bestFit="1" customWidth="1"/>
  </cols>
  <sheetData>
    <row r="1" spans="1:4" ht="18.75" x14ac:dyDescent="0.3">
      <c r="A1" s="2" t="s">
        <v>65</v>
      </c>
    </row>
    <row r="2" spans="1:4" x14ac:dyDescent="0.25">
      <c r="A2" s="1" t="s">
        <v>6</v>
      </c>
    </row>
    <row r="3" spans="1:4" x14ac:dyDescent="0.25">
      <c r="A3" s="1" t="s">
        <v>4</v>
      </c>
      <c r="B3" s="4" t="s">
        <v>3</v>
      </c>
      <c r="C3" s="4"/>
      <c r="D3" s="1" t="s">
        <v>160</v>
      </c>
    </row>
    <row r="4" spans="1:4" x14ac:dyDescent="0.25">
      <c r="A4" t="s">
        <v>123</v>
      </c>
      <c r="B4" s="11" t="b">
        <v>1</v>
      </c>
      <c r="D4" t="s">
        <v>59</v>
      </c>
    </row>
    <row r="5" spans="1:4" x14ac:dyDescent="0.25">
      <c r="A5" t="s">
        <v>60</v>
      </c>
      <c r="B5" s="11" t="b">
        <v>1</v>
      </c>
      <c r="D5" t="s">
        <v>64</v>
      </c>
    </row>
    <row r="6" spans="1:4" x14ac:dyDescent="0.25">
      <c r="A6" t="s">
        <v>61</v>
      </c>
      <c r="B6" s="11" t="b">
        <v>1</v>
      </c>
      <c r="D6" t="s">
        <v>64</v>
      </c>
    </row>
    <row r="7" spans="1:4" x14ac:dyDescent="0.25">
      <c r="A7" t="s">
        <v>62</v>
      </c>
      <c r="B7" s="11" t="b">
        <v>0</v>
      </c>
      <c r="D7" t="s">
        <v>64</v>
      </c>
    </row>
    <row r="8" spans="1:4" x14ac:dyDescent="0.25">
      <c r="A8" t="s">
        <v>63</v>
      </c>
      <c r="B8" s="11" t="b">
        <v>0</v>
      </c>
      <c r="D8" t="s">
        <v>64</v>
      </c>
    </row>
  </sheetData>
  <sheetProtection sheet="1" objects="1" scenarios="1"/>
  <protectedRanges>
    <protectedRange sqref="B4:B8" name="qc method"/>
  </protectedRanges>
  <dataValidations count="10">
    <dataValidation type="list" allowBlank="1" showInputMessage="1" showErrorMessage="1" promptTitle="Matrix Standard Verification" prompt="Was the performance of the method verified using matrix-matched solution containing known chemicals (not spiked)?" sqref="B8" xr:uid="{56E8DC6E-BF2D-427C-9732-764A5A97AB1E}">
      <formula1>"TRUE,FALSE"</formula1>
    </dataValidation>
    <dataValidation allowBlank="1" showErrorMessage="1" promptTitle="Was a QA/QC Method Used" sqref="A4" xr:uid="{6CF38FE4-4E13-45FB-B75F-651CB4793E63}"/>
    <dataValidation allowBlank="1" showErrorMessage="1" promptTitle="Mass Analyzer Calibration" sqref="A5" xr:uid="{72AFA927-4FA2-44F9-8EE1-CBA6910866F1}"/>
    <dataValidation allowBlank="1" showErrorMessage="1" promptTitle="External Standard Verification" sqref="A6" xr:uid="{2D0E0E0D-95B9-45DF-AB5B-1F72E27F94CC}"/>
    <dataValidation allowBlank="1" showErrorMessage="1" promptTitle="Internal Standard Verification" sqref="A7" xr:uid="{64AC82E4-BA1F-4A71-A37A-7FBE79775A7B}"/>
    <dataValidation allowBlank="1" showErrorMessage="1" promptTitle="Matrix Standard Verication" sqref="A8" xr:uid="{D2B87325-E95C-44D8-BBD6-6046AB2F37EB}"/>
    <dataValidation type="list" allowBlank="1" showInputMessage="1" showErrorMessage="1" promptTitle="Was a QA/QC Method Used" prompt="During the collection of the submitted data, did the user apply a quality assurance or quality control protocol?" sqref="B4" xr:uid="{4B993926-5894-4FA1-B23B-CB2946449F44}">
      <formula1>"TRUE,FALSE"</formula1>
    </dataValidation>
    <dataValidation type="list" allowBlank="1" showInputMessage="1" showErrorMessage="1" promptTitle="Mass Analyzer Calibration" prompt="Was the mass analyzer (quadrupole, orbitrap, time-of-flight, ion trap, etc.) calibrated and within performance requirements prior to analysis?" sqref="B5" xr:uid="{C7140E64-1754-451F-B9CD-D37FBB3C4DAE}">
      <formula1>"TRUE,FALSE"</formula1>
    </dataValidation>
    <dataValidation type="list" allowBlank="1" showInputMessage="1" showErrorMessage="1" promptTitle="External Standard Verification" prompt="Was the performance of the method verified using chemical standards spiked in a blank solvent (non-matrix) solution?" sqref="B6" xr:uid="{8F5CF63C-F649-4255-A76E-B438F065EC55}">
      <formula1>"TRUE,FALSE"</formula1>
    </dataValidation>
    <dataValidation type="list" allowBlank="1" showInputMessage="1" showErrorMessage="1" promptTitle="Internal Standard Verification" prompt="Was the performance of the method verified using chemical standards spiked into the sample solutions?" sqref="B7" xr:uid="{A1821805-2D5B-4FE8-B58D-F425FA89F8D5}">
      <formula1>"TRUE,FALSE"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1F2DED-D957-4D80-BC4C-2B28DBD82358}">
  <sheetPr codeName="Sheet7"/>
  <dimension ref="A1:H13"/>
  <sheetViews>
    <sheetView workbookViewId="0">
      <selection activeCell="B14" sqref="B14"/>
    </sheetView>
  </sheetViews>
  <sheetFormatPr defaultRowHeight="15" x14ac:dyDescent="0.25"/>
  <cols>
    <col min="1" max="1" width="24" bestFit="1" customWidth="1"/>
    <col min="2" max="2" width="16.85546875" style="10" customWidth="1"/>
    <col min="3" max="3" width="8.85546875" style="10" bestFit="1" customWidth="1"/>
    <col min="4" max="4" width="9" bestFit="1" customWidth="1"/>
    <col min="5" max="5" width="6" bestFit="1" customWidth="1"/>
    <col min="6" max="6" width="16.5703125" bestFit="1" customWidth="1"/>
    <col min="7" max="7" width="14.85546875" bestFit="1" customWidth="1"/>
  </cols>
  <sheetData>
    <row r="1" spans="1:8" ht="18.75" x14ac:dyDescent="0.3">
      <c r="A1" s="2" t="s">
        <v>33</v>
      </c>
    </row>
    <row r="2" spans="1:8" x14ac:dyDescent="0.25">
      <c r="A2" s="1" t="s">
        <v>6</v>
      </c>
    </row>
    <row r="3" spans="1:8" x14ac:dyDescent="0.25">
      <c r="A3" s="5" t="s">
        <v>78</v>
      </c>
      <c r="B3" s="9" t="s">
        <v>211</v>
      </c>
      <c r="C3" s="5" t="s">
        <v>257</v>
      </c>
      <c r="D3" s="5" t="s">
        <v>79</v>
      </c>
      <c r="E3" s="5" t="s">
        <v>80</v>
      </c>
      <c r="F3" s="5" t="s">
        <v>81</v>
      </c>
      <c r="G3" s="5" t="s">
        <v>82</v>
      </c>
      <c r="H3" s="5" t="s">
        <v>268</v>
      </c>
    </row>
    <row r="4" spans="1:8" x14ac:dyDescent="0.25">
      <c r="A4" s="13" t="s">
        <v>217</v>
      </c>
      <c r="B4" s="13">
        <v>2646</v>
      </c>
      <c r="C4" s="13" t="s">
        <v>267</v>
      </c>
      <c r="D4" s="13">
        <v>262.976</v>
      </c>
      <c r="E4" s="13">
        <v>8.6</v>
      </c>
      <c r="F4" s="13">
        <v>8.4</v>
      </c>
      <c r="G4" s="13">
        <v>9.1</v>
      </c>
      <c r="H4" s="13" t="b">
        <v>1</v>
      </c>
    </row>
    <row r="5" spans="1:8" x14ac:dyDescent="0.25">
      <c r="A5" s="13" t="s">
        <v>218</v>
      </c>
      <c r="B5" s="13">
        <v>2643</v>
      </c>
      <c r="C5" s="13" t="s">
        <v>267</v>
      </c>
      <c r="D5" s="13">
        <v>312.97300000000001</v>
      </c>
      <c r="E5" s="13">
        <v>10.8</v>
      </c>
      <c r="F5" s="13">
        <v>10.5</v>
      </c>
      <c r="G5" s="13">
        <v>11.1</v>
      </c>
      <c r="H5" s="13" t="b">
        <v>1</v>
      </c>
    </row>
    <row r="6" spans="1:8" x14ac:dyDescent="0.25">
      <c r="A6" s="13" t="s">
        <v>219</v>
      </c>
      <c r="B6" s="13">
        <v>2640</v>
      </c>
      <c r="C6" s="13" t="s">
        <v>267</v>
      </c>
      <c r="D6" s="13">
        <v>362.9699</v>
      </c>
      <c r="E6" s="13">
        <v>12.09</v>
      </c>
      <c r="F6" s="13">
        <v>11.9</v>
      </c>
      <c r="G6" s="13">
        <v>12.4</v>
      </c>
      <c r="H6" s="13" t="b">
        <v>1</v>
      </c>
    </row>
    <row r="7" spans="1:8" x14ac:dyDescent="0.25">
      <c r="A7" s="13" t="s">
        <v>220</v>
      </c>
      <c r="B7" s="13">
        <v>2637</v>
      </c>
      <c r="C7" s="13" t="s">
        <v>267</v>
      </c>
      <c r="D7" s="13">
        <v>412.9665</v>
      </c>
      <c r="E7" s="13">
        <v>13.05</v>
      </c>
      <c r="F7" s="13">
        <v>12.8</v>
      </c>
      <c r="G7" s="13">
        <v>13.4</v>
      </c>
      <c r="H7" s="13" t="b">
        <v>1</v>
      </c>
    </row>
    <row r="8" spans="1:8" x14ac:dyDescent="0.25">
      <c r="A8" s="13" t="s">
        <v>221</v>
      </c>
      <c r="B8" s="13">
        <v>2635</v>
      </c>
      <c r="C8" s="13" t="s">
        <v>267</v>
      </c>
      <c r="D8" s="13">
        <v>462.96350000000001</v>
      </c>
      <c r="E8" s="13">
        <v>13.8</v>
      </c>
      <c r="F8" s="13">
        <v>13.6</v>
      </c>
      <c r="G8" s="13">
        <v>14.1</v>
      </c>
      <c r="H8" s="13" t="b">
        <v>1</v>
      </c>
    </row>
    <row r="9" spans="1:8" x14ac:dyDescent="0.25">
      <c r="A9" s="13" t="s">
        <v>222</v>
      </c>
      <c r="B9" s="13">
        <v>2632</v>
      </c>
      <c r="C9" s="13" t="s">
        <v>267</v>
      </c>
      <c r="D9" s="13">
        <v>512.96019999999999</v>
      </c>
      <c r="E9" s="13">
        <v>14.5</v>
      </c>
      <c r="F9" s="13">
        <v>14.3</v>
      </c>
      <c r="G9" s="13">
        <v>14.8</v>
      </c>
      <c r="H9" s="13" t="b">
        <v>1</v>
      </c>
    </row>
    <row r="10" spans="1:8" x14ac:dyDescent="0.25">
      <c r="A10" s="13" t="s">
        <v>224</v>
      </c>
      <c r="B10" s="13">
        <v>2630</v>
      </c>
      <c r="C10" s="13" t="s">
        <v>267</v>
      </c>
      <c r="D10" s="13">
        <v>562.95730000000003</v>
      </c>
      <c r="E10" s="13">
        <v>15.1</v>
      </c>
      <c r="F10" s="13">
        <v>14.9</v>
      </c>
      <c r="G10" s="13">
        <v>15.4</v>
      </c>
      <c r="H10" s="13" t="b">
        <v>1</v>
      </c>
    </row>
    <row r="11" spans="1:8" x14ac:dyDescent="0.25">
      <c r="A11" s="13" t="s">
        <v>223</v>
      </c>
      <c r="B11" s="13">
        <v>2629</v>
      </c>
      <c r="C11" s="13" t="s">
        <v>267</v>
      </c>
      <c r="D11" s="13">
        <v>612.95399999999995</v>
      </c>
      <c r="E11" s="13">
        <v>15.6</v>
      </c>
      <c r="F11" s="13">
        <v>15.4</v>
      </c>
      <c r="G11" s="13">
        <v>15.8</v>
      </c>
      <c r="H11" s="13" t="b">
        <v>1</v>
      </c>
    </row>
    <row r="12" spans="1:8" x14ac:dyDescent="0.25">
      <c r="A12" s="13" t="s">
        <v>225</v>
      </c>
      <c r="B12" s="13">
        <v>2628</v>
      </c>
      <c r="C12" s="13" t="s">
        <v>267</v>
      </c>
      <c r="D12" s="13">
        <v>662.95159999999998</v>
      </c>
      <c r="E12" s="13">
        <v>16</v>
      </c>
      <c r="F12" s="13">
        <v>15.9</v>
      </c>
      <c r="G12" s="13">
        <v>16.2</v>
      </c>
      <c r="H12" s="13" t="b">
        <v>1</v>
      </c>
    </row>
    <row r="13" spans="1:8" x14ac:dyDescent="0.25">
      <c r="A13" s="13" t="s">
        <v>269</v>
      </c>
      <c r="B13" s="13">
        <v>2627</v>
      </c>
      <c r="C13" s="13" t="s">
        <v>267</v>
      </c>
      <c r="D13" s="13">
        <v>712.94870000000003</v>
      </c>
      <c r="E13" s="13">
        <v>16.3</v>
      </c>
      <c r="F13" s="13">
        <v>16.2</v>
      </c>
      <c r="G13" s="13">
        <v>16.600000000000001</v>
      </c>
      <c r="H13" s="13" t="b">
        <v>1</v>
      </c>
    </row>
  </sheetData>
  <sheetProtection sheet="1" objects="1" scenarios="1"/>
  <protectedRanges>
    <protectedRange sqref="A4:H1048576" name="peaks"/>
  </protectedRanges>
  <dataValidations count="9">
    <dataValidation allowBlank="1" showInputMessage="1" showErrorMessage="1" promptTitle="name" prompt="User input name for compound, unrestricted." sqref="A3" xr:uid="{E53FD2EE-6C59-41BA-A662-81D4D3D76D7C}"/>
    <dataValidation allowBlank="1" showInputMessage="1" showErrorMessage="1" promptTitle="identifier" prompt="The ID number of the identified compound from the PFAS suspect list (https://data.nist.gov/od/id/mds2-2387)" sqref="B3" xr:uid="{A993DF2C-3443-4049-B886-DFDBF942AE07}"/>
    <dataValidation allowBlank="1" showInputMessage="1" showErrorMessage="1" promptTitle="m/z" prompt="measured m/z for the precursor/parent ion of the compound" sqref="D3" xr:uid="{237BD59A-77E2-4107-A9A4-FFC8B6A7DD15}"/>
    <dataValidation allowBlank="1" showInputMessage="1" showErrorMessage="1" promptTitle="retention time" prompt="chromatographic retention time of the peak apex" sqref="E3" xr:uid="{3022F5C0-FB4D-4E21-976E-B1C4B4CABEE7}"/>
    <dataValidation allowBlank="1" showInputMessage="1" showErrorMessage="1" promptTitle="start time of peak" prompt="retention time of the start of the chromatographic peak (left)_x000a_" sqref="F3" xr:uid="{2464E5AD-262F-46F6-ABA1-75CC3839401A}"/>
    <dataValidation allowBlank="1" showInputMessage="1" showErrorMessage="1" promptTitle="end time of peak" prompt="retention time of the end of the chromatographic peak (right)" sqref="G3" xr:uid="{D0663693-206C-4AF1-AF25-36401A7CEBA3}"/>
    <dataValidation allowBlank="1" showInputMessage="1" showErrorMessage="1" promptTitle="Ion State" prompt="The ion state of the measured precursor/molecular ion associated with the entered compound identity and m/z value." sqref="C3" xr:uid="{B74C3909-9209-4A60-A7A1-0AFC7C3DF42C}"/>
    <dataValidation allowBlank="1" showInputMessage="1" showErrorMessage="1" promptTitle="Compound Verification" prompt="Was the identity of the compound verified by using a chemical standard and comparing the retention time, precursor ion, and/or fragmentation mass spectra?" sqref="H3" xr:uid="{2A92C2A7-746E-4B6F-9C0F-30F03CC2DAA4}"/>
    <dataValidation type="list" allowBlank="1" showInputMessage="1" showErrorMessage="1" sqref="H4:H1048576" xr:uid="{A7E392E9-875C-4E5F-B259-CC77030F7DDF}">
      <formula1>"TRUE,FALSE"</formula1>
    </dataValidation>
  </dataValidations>
  <hyperlinks>
    <hyperlink ref="B3" r:id="rId1" display="identifier" xr:uid="{EA405BE7-5715-47D3-946C-EB2585244009}"/>
  </hyperlinks>
  <pageMargins left="0.7" right="0.7" top="0.75" bottom="0.75" header="0.3" footer="0.3"/>
  <pageSetup orientation="portrait" r:id="rId2"/>
  <extLst>
    <ext xmlns:x14="http://schemas.microsoft.com/office/spreadsheetml/2009/9/main" uri="{CCE6A557-97BC-4b89-ADB6-D9C93CAAB3DF}">
      <x14:dataValidations xmlns:xm="http://schemas.microsoft.com/office/excel/2006/main" count="1">
        <x14:dataValidation type="list" allowBlank="1" showInputMessage="1" showErrorMessage="1" xr:uid="{FC0D2C2B-F483-4BFD-A544-6F4549ECE9F7}">
          <x14:formula1>
            <xm:f>Input_Validation!$S$2:$S$11</xm:f>
          </x14:formula1>
          <xm:sqref>C4:C1048576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BFA6B-F176-4940-836A-57EB7B3FF2E3}">
  <sheetPr codeName="Sheet8"/>
  <dimension ref="A1:S15"/>
  <sheetViews>
    <sheetView topLeftCell="J1" workbookViewId="0">
      <selection activeCell="Q15" sqref="Q15"/>
    </sheetView>
  </sheetViews>
  <sheetFormatPr defaultRowHeight="15" x14ac:dyDescent="0.25"/>
  <cols>
    <col min="1" max="1" width="32.140625" bestFit="1" customWidth="1"/>
    <col min="2" max="2" width="22.140625" bestFit="1" customWidth="1"/>
    <col min="3" max="3" width="21.28515625" bestFit="1" customWidth="1"/>
    <col min="4" max="4" width="18.7109375" bestFit="1" customWidth="1"/>
    <col min="5" max="5" width="19.85546875" bestFit="1" customWidth="1"/>
    <col min="6" max="6" width="29.28515625" bestFit="1" customWidth="1"/>
    <col min="7" max="7" width="29.28515625" customWidth="1"/>
    <col min="8" max="8" width="29.28515625" bestFit="1" customWidth="1"/>
    <col min="9" max="9" width="29.28515625" customWidth="1"/>
    <col min="10" max="10" width="24.42578125" bestFit="1" customWidth="1"/>
    <col min="11" max="11" width="36.85546875" bestFit="1" customWidth="1"/>
    <col min="13" max="13" width="29" bestFit="1" customWidth="1"/>
    <col min="14" max="14" width="14.42578125" bestFit="1" customWidth="1"/>
    <col min="15" max="15" width="22.85546875" bestFit="1" customWidth="1"/>
    <col min="16" max="16" width="33" bestFit="1" customWidth="1"/>
    <col min="17" max="17" width="33.28515625" bestFit="1" customWidth="1"/>
    <col min="18" max="18" width="14.85546875" bestFit="1" customWidth="1"/>
    <col min="19" max="19" width="11.85546875" bestFit="1" customWidth="1"/>
  </cols>
  <sheetData>
    <row r="1" spans="1:19" x14ac:dyDescent="0.25">
      <c r="A1" t="s">
        <v>71</v>
      </c>
      <c r="B1" t="s">
        <v>5</v>
      </c>
      <c r="C1" t="s">
        <v>30</v>
      </c>
      <c r="D1" t="s">
        <v>101</v>
      </c>
      <c r="E1" t="s">
        <v>102</v>
      </c>
      <c r="F1" t="s">
        <v>29</v>
      </c>
      <c r="G1" t="s">
        <v>24</v>
      </c>
      <c r="H1" t="s">
        <v>165</v>
      </c>
      <c r="I1" t="s">
        <v>24</v>
      </c>
      <c r="J1" t="s">
        <v>34</v>
      </c>
      <c r="K1" t="s">
        <v>35</v>
      </c>
      <c r="L1" t="s">
        <v>38</v>
      </c>
      <c r="M1" t="s">
        <v>43</v>
      </c>
      <c r="N1" t="s">
        <v>134</v>
      </c>
      <c r="O1" t="s">
        <v>54</v>
      </c>
      <c r="P1" t="s">
        <v>56</v>
      </c>
      <c r="Q1" t="s">
        <v>57</v>
      </c>
      <c r="R1" t="s">
        <v>73</v>
      </c>
      <c r="S1" t="s">
        <v>257</v>
      </c>
    </row>
    <row r="2" spans="1:19" x14ac:dyDescent="0.25">
      <c r="A2" t="s">
        <v>83</v>
      </c>
      <c r="B2" t="s">
        <v>92</v>
      </c>
      <c r="C2" t="s">
        <v>7</v>
      </c>
      <c r="D2" t="s">
        <v>14</v>
      </c>
      <c r="E2" t="s">
        <v>14</v>
      </c>
      <c r="F2" t="s">
        <v>7</v>
      </c>
      <c r="G2" t="s">
        <v>14</v>
      </c>
      <c r="H2" t="s">
        <v>14</v>
      </c>
      <c r="I2" t="s">
        <v>14</v>
      </c>
      <c r="J2" t="s">
        <v>7</v>
      </c>
      <c r="K2" t="s">
        <v>36</v>
      </c>
      <c r="L2" t="s">
        <v>129</v>
      </c>
      <c r="M2" t="s">
        <v>44</v>
      </c>
      <c r="N2" t="s">
        <v>14</v>
      </c>
      <c r="O2" t="s">
        <v>52</v>
      </c>
      <c r="P2" t="s">
        <v>144</v>
      </c>
      <c r="Q2" t="s">
        <v>143</v>
      </c>
      <c r="R2" t="s">
        <v>14</v>
      </c>
      <c r="S2" t="s">
        <v>259</v>
      </c>
    </row>
    <row r="3" spans="1:19" x14ac:dyDescent="0.25">
      <c r="A3" t="s">
        <v>84</v>
      </c>
      <c r="B3" t="s">
        <v>93</v>
      </c>
      <c r="C3" t="s">
        <v>31</v>
      </c>
      <c r="D3" t="s">
        <v>103</v>
      </c>
      <c r="E3" t="s">
        <v>104</v>
      </c>
      <c r="F3" t="s">
        <v>31</v>
      </c>
      <c r="G3" t="s">
        <v>176</v>
      </c>
      <c r="H3" t="s">
        <v>7</v>
      </c>
      <c r="I3" t="s">
        <v>176</v>
      </c>
      <c r="J3" t="s">
        <v>31</v>
      </c>
      <c r="K3" t="s">
        <v>125</v>
      </c>
      <c r="L3" t="s">
        <v>39</v>
      </c>
      <c r="M3" t="s">
        <v>130</v>
      </c>
      <c r="N3" t="s">
        <v>47</v>
      </c>
      <c r="O3" t="s">
        <v>138</v>
      </c>
      <c r="P3" t="s">
        <v>145</v>
      </c>
      <c r="Q3" t="s">
        <v>44</v>
      </c>
      <c r="R3" t="s">
        <v>140</v>
      </c>
      <c r="S3" t="s">
        <v>258</v>
      </c>
    </row>
    <row r="4" spans="1:19" x14ac:dyDescent="0.25">
      <c r="A4" t="s">
        <v>85</v>
      </c>
      <c r="B4" t="s">
        <v>94</v>
      </c>
      <c r="C4" t="s">
        <v>96</v>
      </c>
      <c r="D4" t="s">
        <v>107</v>
      </c>
      <c r="E4" t="s">
        <v>106</v>
      </c>
      <c r="F4" t="s">
        <v>96</v>
      </c>
      <c r="G4" t="s">
        <v>177</v>
      </c>
      <c r="H4" t="s">
        <v>31</v>
      </c>
      <c r="I4" t="s">
        <v>177</v>
      </c>
      <c r="J4" t="s">
        <v>96</v>
      </c>
      <c r="K4" t="s">
        <v>126</v>
      </c>
      <c r="M4" t="s">
        <v>131</v>
      </c>
      <c r="N4" t="s">
        <v>135</v>
      </c>
      <c r="O4" t="s">
        <v>139</v>
      </c>
      <c r="R4" t="s">
        <v>142</v>
      </c>
      <c r="S4" t="s">
        <v>260</v>
      </c>
    </row>
    <row r="5" spans="1:19" x14ac:dyDescent="0.25">
      <c r="A5" t="s">
        <v>87</v>
      </c>
      <c r="B5" t="s">
        <v>95</v>
      </c>
      <c r="C5" t="s">
        <v>97</v>
      </c>
      <c r="D5" t="s">
        <v>105</v>
      </c>
      <c r="E5" t="s">
        <v>108</v>
      </c>
      <c r="F5" t="s">
        <v>97</v>
      </c>
      <c r="G5" t="s">
        <v>174</v>
      </c>
      <c r="H5" t="s">
        <v>96</v>
      </c>
      <c r="I5" t="s">
        <v>174</v>
      </c>
      <c r="J5" t="s">
        <v>97</v>
      </c>
      <c r="K5" t="s">
        <v>127</v>
      </c>
      <c r="M5" t="s">
        <v>132</v>
      </c>
      <c r="N5" t="s">
        <v>136</v>
      </c>
      <c r="O5" t="s">
        <v>206</v>
      </c>
      <c r="R5" t="s">
        <v>141</v>
      </c>
      <c r="S5" t="s">
        <v>261</v>
      </c>
    </row>
    <row r="6" spans="1:19" x14ac:dyDescent="0.25">
      <c r="A6" t="s">
        <v>86</v>
      </c>
      <c r="C6" t="s">
        <v>98</v>
      </c>
      <c r="D6" t="s">
        <v>109</v>
      </c>
      <c r="E6" t="s">
        <v>110</v>
      </c>
      <c r="F6" t="s">
        <v>113</v>
      </c>
      <c r="G6" t="s">
        <v>175</v>
      </c>
      <c r="H6" t="s">
        <v>97</v>
      </c>
      <c r="I6" t="s">
        <v>175</v>
      </c>
      <c r="J6" t="s">
        <v>98</v>
      </c>
      <c r="K6" t="s">
        <v>128</v>
      </c>
      <c r="M6" t="s">
        <v>133</v>
      </c>
      <c r="N6" t="s">
        <v>137</v>
      </c>
      <c r="S6" t="s">
        <v>262</v>
      </c>
    </row>
    <row r="7" spans="1:19" x14ac:dyDescent="0.25">
      <c r="A7" t="s">
        <v>88</v>
      </c>
      <c r="C7" t="s">
        <v>99</v>
      </c>
      <c r="D7" t="s">
        <v>185</v>
      </c>
      <c r="E7" t="s">
        <v>111</v>
      </c>
      <c r="F7" t="s">
        <v>171</v>
      </c>
      <c r="G7" t="s">
        <v>182</v>
      </c>
      <c r="H7" t="s">
        <v>113</v>
      </c>
      <c r="I7" t="s">
        <v>182</v>
      </c>
      <c r="J7" t="s">
        <v>99</v>
      </c>
      <c r="N7" t="s">
        <v>50</v>
      </c>
      <c r="S7" t="s">
        <v>263</v>
      </c>
    </row>
    <row r="8" spans="1:19" x14ac:dyDescent="0.25">
      <c r="A8" t="s">
        <v>89</v>
      </c>
      <c r="C8" t="s">
        <v>100</v>
      </c>
      <c r="D8" t="s">
        <v>183</v>
      </c>
      <c r="E8" t="s">
        <v>112</v>
      </c>
      <c r="F8" t="s">
        <v>172</v>
      </c>
      <c r="G8" t="s">
        <v>178</v>
      </c>
      <c r="H8" t="s">
        <v>171</v>
      </c>
      <c r="I8" t="s">
        <v>181</v>
      </c>
      <c r="N8" t="s">
        <v>227</v>
      </c>
      <c r="S8" t="s">
        <v>264</v>
      </c>
    </row>
    <row r="9" spans="1:19" x14ac:dyDescent="0.25">
      <c r="A9" t="s">
        <v>90</v>
      </c>
      <c r="D9" t="s">
        <v>184</v>
      </c>
      <c r="F9" t="s">
        <v>173</v>
      </c>
      <c r="G9" t="s">
        <v>179</v>
      </c>
      <c r="H9" t="s">
        <v>172</v>
      </c>
      <c r="I9" t="s">
        <v>179</v>
      </c>
      <c r="S9" t="s">
        <v>267</v>
      </c>
    </row>
    <row r="10" spans="1:19" x14ac:dyDescent="0.25">
      <c r="A10" t="s">
        <v>91</v>
      </c>
      <c r="D10" t="s">
        <v>197</v>
      </c>
      <c r="G10" t="s">
        <v>180</v>
      </c>
      <c r="H10" t="s">
        <v>173</v>
      </c>
      <c r="I10" t="s">
        <v>180</v>
      </c>
      <c r="S10" t="s">
        <v>265</v>
      </c>
    </row>
    <row r="11" spans="1:19" x14ac:dyDescent="0.25">
      <c r="A11" t="s">
        <v>186</v>
      </c>
      <c r="S11" t="s">
        <v>266</v>
      </c>
    </row>
    <row r="12" spans="1:19" x14ac:dyDescent="0.25">
      <c r="A12" t="s">
        <v>187</v>
      </c>
    </row>
    <row r="13" spans="1:19" x14ac:dyDescent="0.25">
      <c r="A13" t="s">
        <v>188</v>
      </c>
    </row>
    <row r="14" spans="1:19" x14ac:dyDescent="0.25">
      <c r="A14" t="s">
        <v>189</v>
      </c>
    </row>
    <row r="15" spans="1:19" x14ac:dyDescent="0.25">
      <c r="A15" t="s">
        <v>190</v>
      </c>
    </row>
  </sheetData>
  <sheetProtection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73E30-3F5C-41E6-8609-C3D04C1A1535}">
  <sheetPr codeName="Sheet9"/>
  <dimension ref="A1:E3"/>
  <sheetViews>
    <sheetView workbookViewId="0"/>
  </sheetViews>
  <sheetFormatPr defaultRowHeight="15" x14ac:dyDescent="0.25"/>
  <cols>
    <col min="1" max="5" width="27.7109375" customWidth="1"/>
  </cols>
  <sheetData>
    <row r="1" spans="1:5" ht="18.75" x14ac:dyDescent="0.3">
      <c r="A1" s="2" t="s">
        <v>233</v>
      </c>
    </row>
    <row r="2" spans="1:5" x14ac:dyDescent="0.25">
      <c r="A2" s="1" t="s">
        <v>6</v>
      </c>
    </row>
    <row r="3" spans="1:5" x14ac:dyDescent="0.25">
      <c r="A3" s="1" t="s">
        <v>228</v>
      </c>
      <c r="B3" s="1" t="s">
        <v>229</v>
      </c>
      <c r="C3" s="1" t="s">
        <v>230</v>
      </c>
      <c r="D3" s="1" t="s">
        <v>231</v>
      </c>
      <c r="E3" s="1" t="s">
        <v>232</v>
      </c>
    </row>
  </sheetData>
  <dataValidations count="5">
    <dataValidation allowBlank="1" showInputMessage="1" showErrorMessage="1" promptTitle="mz" prompt="Measured m/z of the fragment to be annotated" sqref="A3" xr:uid="{72AAB8B1-3F83-455F-8D13-7A70C55BF504}"/>
    <dataValidation allowBlank="1" showInputMessage="1" showErrorMessage="1" promptTitle="Elemental Formula" prompt="The proposed elemental formula for the specific fragment" sqref="B3" xr:uid="{D7A2E41B-0ABC-4417-ADD5-409956FC0D5B}"/>
    <dataValidation allowBlank="1" showInputMessage="1" showErrorMessage="1" promptTitle="SMILES" prompt="The proposed fragment structure (in SMILES notation) for the specific fragment, can be empty" sqref="C3" xr:uid="{DED9A0D0-1646-4745-B6B8-55F526595BCD}"/>
    <dataValidation allowBlank="1" showInputMessage="1" showErrorMessage="1" promptTitle="Radical" prompt="Does the proposed fragment structure contain a radical electron (TRUE, FALSE, UNKNOWN)" sqref="D3" xr:uid="{9555C802-F1D4-4BD9-AC5B-E21E79AD0809}"/>
    <dataValidation allowBlank="1" showInputMessage="1" showErrorMessage="1" promptTitle="Citation" prompt="Reference or other citation (DOI or website) for the evidence of the fragment identification. Enter USER if it is based on user interpretation only." sqref="E3" xr:uid="{A98701DE-EC2E-4C6B-95DA-1F4A5882F454}"/>
  </dataValidation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7A8C5A-8800-4947-BF2B-F2D386996657}">
  <sheetPr codeName="Sheet10"/>
  <dimension ref="A1:E5"/>
  <sheetViews>
    <sheetView workbookViewId="0">
      <selection activeCell="A6" sqref="A6"/>
    </sheetView>
  </sheetViews>
  <sheetFormatPr defaultRowHeight="15" x14ac:dyDescent="0.25"/>
  <cols>
    <col min="1" max="3" width="27.7109375" customWidth="1"/>
    <col min="4" max="4" width="33.42578125" bestFit="1" customWidth="1"/>
    <col min="5" max="5" width="27.7109375" customWidth="1"/>
  </cols>
  <sheetData>
    <row r="1" spans="1:5" ht="18.75" x14ac:dyDescent="0.3">
      <c r="A1" s="2" t="s">
        <v>234</v>
      </c>
    </row>
    <row r="2" spans="1:5" x14ac:dyDescent="0.25">
      <c r="A2" s="1" t="s">
        <v>6</v>
      </c>
    </row>
    <row r="3" spans="1:5" x14ac:dyDescent="0.25">
      <c r="A3" s="1" t="s">
        <v>228</v>
      </c>
      <c r="B3" s="1" t="s">
        <v>229</v>
      </c>
      <c r="C3" s="1" t="s">
        <v>230</v>
      </c>
      <c r="D3" s="1" t="s">
        <v>231</v>
      </c>
      <c r="E3" s="1" t="s">
        <v>232</v>
      </c>
    </row>
    <row r="4" spans="1:5" x14ac:dyDescent="0.25">
      <c r="A4">
        <v>118.99120000000001</v>
      </c>
      <c r="B4" t="s">
        <v>245</v>
      </c>
      <c r="C4" t="s">
        <v>246</v>
      </c>
      <c r="D4" t="b">
        <v>0</v>
      </c>
      <c r="E4" t="s">
        <v>244</v>
      </c>
    </row>
    <row r="5" spans="1:5" x14ac:dyDescent="0.25">
      <c r="A5">
        <v>268.9828</v>
      </c>
      <c r="B5" t="s">
        <v>247</v>
      </c>
      <c r="C5" t="s">
        <v>248</v>
      </c>
      <c r="D5" t="b">
        <v>0</v>
      </c>
      <c r="E5" t="s">
        <v>244</v>
      </c>
    </row>
  </sheetData>
  <dataValidations count="5">
    <dataValidation allowBlank="1" showInputMessage="1" showErrorMessage="1" promptTitle="mz" prompt="Measured m/z of the fragment to be annotated" sqref="A3" xr:uid="{97E6C6FA-0040-41FF-B549-919211CCF76C}"/>
    <dataValidation allowBlank="1" showInputMessage="1" showErrorMessage="1" promptTitle="Elemental Formula" prompt="The proposed elemental formula for the specific fragment" sqref="B3" xr:uid="{71F768EB-DACD-4112-94C3-41643C676E8D}"/>
    <dataValidation allowBlank="1" showInputMessage="1" showErrorMessage="1" promptTitle="SMILES" prompt="The proposed fragment structure (in SMILES notation) for the specific fragment, can be empty" sqref="C3" xr:uid="{509D0422-DCCB-4D5D-9679-D68E6EE582FF}"/>
    <dataValidation allowBlank="1" showInputMessage="1" showErrorMessage="1" promptTitle="Radical" prompt="Does the proposed fragment structure contain a radical electron (TRUE, FALSE, UNKNOWN)" sqref="D3" xr:uid="{FF50DDC7-CDA9-454D-90C0-E3D46E218287}"/>
    <dataValidation allowBlank="1" showInputMessage="1" showErrorMessage="1" promptTitle="Citation" prompt="Reference or other citation (DOI or website) for the evidence of the fragment identification. Enter USER if it is based on user interpretation only." sqref="E3" xr:uid="{646B8852-7F01-4C1F-AE6D-B1CD2C253398}"/>
  </dataValidations>
  <pageMargins left="0.7" right="0.7" top="0.75" bottom="0.75" header="0.3" footer="0.3"/>
  <legacy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EE6AC-1CD2-4943-BD2D-76141526D20F}">
  <sheetPr codeName="Sheet11"/>
  <dimension ref="A1:E6"/>
  <sheetViews>
    <sheetView workbookViewId="0">
      <selection activeCell="A6" sqref="A6"/>
    </sheetView>
  </sheetViews>
  <sheetFormatPr defaultRowHeight="15" x14ac:dyDescent="0.25"/>
  <cols>
    <col min="1" max="3" width="27.7109375" customWidth="1"/>
    <col min="4" max="4" width="39.7109375" bestFit="1" customWidth="1"/>
    <col min="5" max="5" width="27.7109375" customWidth="1"/>
  </cols>
  <sheetData>
    <row r="1" spans="1:5" ht="18.75" x14ac:dyDescent="0.3">
      <c r="A1" s="2" t="s">
        <v>235</v>
      </c>
    </row>
    <row r="2" spans="1:5" x14ac:dyDescent="0.25">
      <c r="A2" s="1" t="s">
        <v>6</v>
      </c>
    </row>
    <row r="3" spans="1:5" x14ac:dyDescent="0.25">
      <c r="A3" s="1" t="s">
        <v>228</v>
      </c>
      <c r="B3" s="1" t="s">
        <v>229</v>
      </c>
      <c r="C3" s="1" t="s">
        <v>230</v>
      </c>
      <c r="D3" s="1" t="s">
        <v>231</v>
      </c>
      <c r="E3" s="1" t="s">
        <v>232</v>
      </c>
    </row>
    <row r="4" spans="1:5" x14ac:dyDescent="0.25">
      <c r="A4">
        <v>118.99120000000001</v>
      </c>
      <c r="B4" t="s">
        <v>245</v>
      </c>
      <c r="C4" t="s">
        <v>246</v>
      </c>
      <c r="D4" t="b">
        <v>0</v>
      </c>
      <c r="E4" t="s">
        <v>244</v>
      </c>
    </row>
    <row r="5" spans="1:5" x14ac:dyDescent="0.25">
      <c r="A5">
        <v>168.98830000000001</v>
      </c>
      <c r="B5" t="s">
        <v>249</v>
      </c>
      <c r="C5" t="s">
        <v>250</v>
      </c>
      <c r="D5" t="b">
        <v>0</v>
      </c>
      <c r="E5" t="s">
        <v>244</v>
      </c>
    </row>
    <row r="6" spans="1:5" x14ac:dyDescent="0.25">
      <c r="A6">
        <v>318.9796</v>
      </c>
      <c r="B6" t="s">
        <v>251</v>
      </c>
      <c r="C6" t="s">
        <v>252</v>
      </c>
      <c r="D6" t="b">
        <v>0</v>
      </c>
      <c r="E6" t="s">
        <v>244</v>
      </c>
    </row>
  </sheetData>
  <dataValidations count="5">
    <dataValidation allowBlank="1" showInputMessage="1" showErrorMessage="1" promptTitle="mz" prompt="Measured m/z of the fragment to be annotated" sqref="A3" xr:uid="{E5DD9694-19B6-4EC0-BCD5-57BE791199DD}"/>
    <dataValidation allowBlank="1" showInputMessage="1" showErrorMessage="1" promptTitle="Elemental Formula" prompt="The proposed elemental formula for the specific fragment" sqref="B3" xr:uid="{CF66EED0-0D3B-4333-BF22-9AD0205E8D05}"/>
    <dataValidation allowBlank="1" showInputMessage="1" showErrorMessage="1" promptTitle="SMILES" prompt="The proposed fragment structure (in SMILES notation) for the specific fragment, can be empty" sqref="C3" xr:uid="{55B5B680-91C4-4CDF-80FF-FB27B9AD8E18}"/>
    <dataValidation allowBlank="1" showInputMessage="1" showErrorMessage="1" promptTitle="Radical" prompt="Does the proposed fragment structure contain a radical electron (TRUE, FALSE, UNKNOWN)" sqref="D3" xr:uid="{39F18CE3-8117-409D-BB28-FAD8A068B213}"/>
    <dataValidation allowBlank="1" showInputMessage="1" showErrorMessage="1" promptTitle="Citation" prompt="Reference or other citation (DOI or website) for the evidence of the fragment identification. Enter USER if it is based on user interpretation only." sqref="E3" xr:uid="{EB3244D9-B227-4CEC-ADBF-21E8600FF5E2}"/>
  </dataValidations>
  <pageMargins left="0.7" right="0.7" top="0.75" bottom="0.75" header="0.3" footer="0.3"/>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4590F3-0768-45A3-9B72-BA666C49F88E}">
  <sheetPr codeName="Sheet12"/>
  <dimension ref="A1:E7"/>
  <sheetViews>
    <sheetView workbookViewId="0">
      <selection activeCell="C6" sqref="C6"/>
    </sheetView>
  </sheetViews>
  <sheetFormatPr defaultRowHeight="15" x14ac:dyDescent="0.25"/>
  <cols>
    <col min="1" max="5" width="27.7109375" customWidth="1"/>
  </cols>
  <sheetData>
    <row r="1" spans="1:5" ht="18.75" x14ac:dyDescent="0.3">
      <c r="A1" s="2" t="s">
        <v>236</v>
      </c>
    </row>
    <row r="2" spans="1:5" x14ac:dyDescent="0.25">
      <c r="A2" s="1" t="s">
        <v>6</v>
      </c>
    </row>
    <row r="3" spans="1:5" x14ac:dyDescent="0.25">
      <c r="A3" s="1" t="s">
        <v>228</v>
      </c>
      <c r="B3" s="1" t="s">
        <v>229</v>
      </c>
      <c r="C3" s="1" t="s">
        <v>230</v>
      </c>
      <c r="D3" s="1" t="s">
        <v>231</v>
      </c>
      <c r="E3" s="1" t="s">
        <v>232</v>
      </c>
    </row>
    <row r="4" spans="1:5" x14ac:dyDescent="0.25">
      <c r="A4">
        <v>118.9911</v>
      </c>
      <c r="B4" t="s">
        <v>245</v>
      </c>
      <c r="C4" t="s">
        <v>246</v>
      </c>
      <c r="D4" t="b">
        <v>0</v>
      </c>
      <c r="E4" t="s">
        <v>244</v>
      </c>
    </row>
    <row r="5" spans="1:5" x14ac:dyDescent="0.25">
      <c r="A5">
        <v>168.9881</v>
      </c>
      <c r="B5" t="s">
        <v>249</v>
      </c>
      <c r="C5" t="s">
        <v>250</v>
      </c>
      <c r="D5" t="b">
        <v>0</v>
      </c>
      <c r="E5" t="s">
        <v>244</v>
      </c>
    </row>
    <row r="6" spans="1:5" x14ac:dyDescent="0.25">
      <c r="A6">
        <v>218.9855</v>
      </c>
      <c r="B6" t="s">
        <v>242</v>
      </c>
      <c r="C6" t="s">
        <v>243</v>
      </c>
      <c r="D6" t="b">
        <v>0</v>
      </c>
      <c r="E6" t="s">
        <v>244</v>
      </c>
    </row>
    <row r="7" spans="1:5" x14ac:dyDescent="0.25">
      <c r="A7">
        <v>368.97559999999999</v>
      </c>
      <c r="B7" t="s">
        <v>253</v>
      </c>
      <c r="C7" t="s">
        <v>254</v>
      </c>
      <c r="D7" t="b">
        <v>0</v>
      </c>
      <c r="E7" t="s">
        <v>244</v>
      </c>
    </row>
  </sheetData>
  <dataValidations count="5">
    <dataValidation allowBlank="1" showInputMessage="1" showErrorMessage="1" promptTitle="mz" prompt="Measured m/z of the fragment to be annotated" sqref="A3" xr:uid="{A961C1CB-66E4-4B3F-8499-C8A531263880}"/>
    <dataValidation allowBlank="1" showInputMessage="1" showErrorMessage="1" promptTitle="Elemental Formula" prompt="The proposed elemental formula for the specific fragment" sqref="B3" xr:uid="{3273D71A-676E-4B57-9CF6-F36ABD6EA3FA}"/>
    <dataValidation allowBlank="1" showInputMessage="1" showErrorMessage="1" promptTitle="SMILES" prompt="The proposed fragment structure (in SMILES notation) for the specific fragment, can be empty" sqref="C3" xr:uid="{C85134AC-093F-4428-AAB7-750A6A30DEA2}"/>
    <dataValidation allowBlank="1" showInputMessage="1" showErrorMessage="1" promptTitle="Radical" prompt="Does the proposed fragment structure contain a radical electron (TRUE, FALSE, UNKNOWN)" sqref="D3" xr:uid="{7FBBAEFB-489D-49CD-87A2-9434E69C823C}"/>
    <dataValidation allowBlank="1" showInputMessage="1" showErrorMessage="1" promptTitle="Citation" prompt="Reference or other citation (DOI or website) for the evidence of the fragment identification. Enter USER if it is based on user interpretation only." sqref="E3" xr:uid="{8B5353A5-5895-4070-90FD-348C9463312D}"/>
  </dataValidations>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34C0CC-1BA6-4848-A64E-A6BEC7B897E3}">
  <sheetPr codeName="Sheet13"/>
  <dimension ref="A1:E7"/>
  <sheetViews>
    <sheetView workbookViewId="0">
      <selection activeCell="B4" sqref="B4:E7"/>
    </sheetView>
  </sheetViews>
  <sheetFormatPr defaultRowHeight="15" x14ac:dyDescent="0.25"/>
  <cols>
    <col min="1" max="5" width="27.7109375" customWidth="1"/>
  </cols>
  <sheetData>
    <row r="1" spans="1:5" ht="18.75" x14ac:dyDescent="0.3">
      <c r="A1" s="2" t="s">
        <v>237</v>
      </c>
    </row>
    <row r="2" spans="1:5" x14ac:dyDescent="0.25">
      <c r="A2" s="1" t="s">
        <v>6</v>
      </c>
    </row>
    <row r="3" spans="1:5" x14ac:dyDescent="0.25">
      <c r="A3" s="1" t="s">
        <v>228</v>
      </c>
      <c r="B3" s="1" t="s">
        <v>229</v>
      </c>
      <c r="C3" s="1" t="s">
        <v>230</v>
      </c>
      <c r="D3" s="1" t="s">
        <v>231</v>
      </c>
      <c r="E3" s="1" t="s">
        <v>232</v>
      </c>
    </row>
    <row r="4" spans="1:5" x14ac:dyDescent="0.25">
      <c r="A4">
        <v>118.9911</v>
      </c>
      <c r="B4" t="s">
        <v>245</v>
      </c>
      <c r="C4" t="s">
        <v>246</v>
      </c>
      <c r="D4" t="b">
        <v>0</v>
      </c>
      <c r="E4" t="s">
        <v>244</v>
      </c>
    </row>
    <row r="5" spans="1:5" x14ac:dyDescent="0.25">
      <c r="A5">
        <v>168.98820000000001</v>
      </c>
      <c r="B5" t="s">
        <v>249</v>
      </c>
      <c r="C5" t="s">
        <v>250</v>
      </c>
      <c r="D5" t="b">
        <v>0</v>
      </c>
      <c r="E5" t="s">
        <v>244</v>
      </c>
    </row>
    <row r="6" spans="1:5" x14ac:dyDescent="0.25">
      <c r="A6">
        <v>218.98560000000001</v>
      </c>
      <c r="B6" t="s">
        <v>242</v>
      </c>
      <c r="C6" t="s">
        <v>243</v>
      </c>
      <c r="D6" t="b">
        <v>0</v>
      </c>
      <c r="E6" t="s">
        <v>244</v>
      </c>
    </row>
    <row r="7" spans="1:5" x14ac:dyDescent="0.25">
      <c r="A7">
        <v>268.983</v>
      </c>
      <c r="B7" t="s">
        <v>247</v>
      </c>
      <c r="C7" t="s">
        <v>248</v>
      </c>
      <c r="D7" t="b">
        <v>0</v>
      </c>
      <c r="E7" t="s">
        <v>244</v>
      </c>
    </row>
  </sheetData>
  <dataValidations count="5">
    <dataValidation allowBlank="1" showInputMessage="1" showErrorMessage="1" promptTitle="mz" prompt="Measured m/z of the fragment to be annotated" sqref="A3" xr:uid="{A9FE7008-820D-4796-933D-41A0DD8D7BFE}"/>
    <dataValidation allowBlank="1" showInputMessage="1" showErrorMessage="1" promptTitle="Elemental Formula" prompt="The proposed elemental formula for the specific fragment" sqref="B3" xr:uid="{97707984-6582-47E2-9D1F-4423ED29FD55}"/>
    <dataValidation allowBlank="1" showInputMessage="1" showErrorMessage="1" promptTitle="SMILES" prompt="The proposed fragment structure (in SMILES notation) for the specific fragment, can be empty" sqref="C3" xr:uid="{DFFE5C95-D28B-4E87-A343-246968F39F94}"/>
    <dataValidation allowBlank="1" showInputMessage="1" showErrorMessage="1" promptTitle="Radical" prompt="Does the proposed fragment structure contain a radical electron (TRUE, FALSE, UNKNOWN)" sqref="D3" xr:uid="{C1349BE8-091D-4837-BF04-034AF6B98FB3}"/>
    <dataValidation allowBlank="1" showInputMessage="1" showErrorMessage="1" promptTitle="Citation" prompt="Reference or other citation (DOI or website) for the evidence of the fragment identification. Enter USER if it is based on user interpretation only." sqref="E3" xr:uid="{5C6B675E-A7DD-402B-9CD6-4C39F8411095}"/>
  </dataValidations>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53EF83-3ED8-4312-B009-FEBED7FC96B3}">
  <sheetPr codeName="Sheet14"/>
  <dimension ref="A1:E7"/>
  <sheetViews>
    <sheetView workbookViewId="0">
      <selection activeCell="B4" sqref="B4:E7"/>
    </sheetView>
  </sheetViews>
  <sheetFormatPr defaultRowHeight="15" x14ac:dyDescent="0.25"/>
  <cols>
    <col min="1" max="5" width="27.7109375" customWidth="1"/>
  </cols>
  <sheetData>
    <row r="1" spans="1:5" ht="18.75" x14ac:dyDescent="0.3">
      <c r="A1" s="2" t="s">
        <v>238</v>
      </c>
    </row>
    <row r="2" spans="1:5" x14ac:dyDescent="0.25">
      <c r="A2" s="1" t="s">
        <v>6</v>
      </c>
    </row>
    <row r="3" spans="1:5" x14ac:dyDescent="0.25">
      <c r="A3" s="1" t="s">
        <v>228</v>
      </c>
      <c r="B3" s="1" t="s">
        <v>229</v>
      </c>
      <c r="C3" s="1" t="s">
        <v>230</v>
      </c>
      <c r="D3" s="1" t="s">
        <v>231</v>
      </c>
      <c r="E3" s="1" t="s">
        <v>232</v>
      </c>
    </row>
    <row r="4" spans="1:5" x14ac:dyDescent="0.25">
      <c r="A4">
        <v>118.9911</v>
      </c>
      <c r="B4" t="s">
        <v>245</v>
      </c>
      <c r="C4" t="s">
        <v>246</v>
      </c>
      <c r="D4" t="b">
        <v>0</v>
      </c>
      <c r="E4" t="s">
        <v>244</v>
      </c>
    </row>
    <row r="5" spans="1:5" x14ac:dyDescent="0.25">
      <c r="A5">
        <v>168.98830000000001</v>
      </c>
      <c r="B5" t="s">
        <v>249</v>
      </c>
      <c r="C5" t="s">
        <v>250</v>
      </c>
      <c r="D5" t="b">
        <v>0</v>
      </c>
      <c r="E5" t="s">
        <v>244</v>
      </c>
    </row>
    <row r="6" spans="1:5" x14ac:dyDescent="0.25">
      <c r="A6">
        <v>218.98560000000001</v>
      </c>
      <c r="B6" t="s">
        <v>242</v>
      </c>
      <c r="C6" t="s">
        <v>243</v>
      </c>
      <c r="D6" t="b">
        <v>0</v>
      </c>
      <c r="E6" t="s">
        <v>244</v>
      </c>
    </row>
    <row r="7" spans="1:5" x14ac:dyDescent="0.25">
      <c r="A7">
        <v>268.983</v>
      </c>
      <c r="B7" t="s">
        <v>247</v>
      </c>
      <c r="C7" t="s">
        <v>248</v>
      </c>
      <c r="D7" t="b">
        <v>0</v>
      </c>
      <c r="E7" t="s">
        <v>244</v>
      </c>
    </row>
  </sheetData>
  <dataValidations count="5">
    <dataValidation allowBlank="1" showInputMessage="1" showErrorMessage="1" promptTitle="mz" prompt="Measured m/z of the fragment to be annotated" sqref="A3" xr:uid="{57FDF3A7-2B28-495B-90C8-5359A64479FF}"/>
    <dataValidation allowBlank="1" showInputMessage="1" showErrorMessage="1" promptTitle="Elemental Formula" prompt="The proposed elemental formula for the specific fragment" sqref="B3" xr:uid="{14869F42-A63D-4939-9E35-6F29835C8DFA}"/>
    <dataValidation allowBlank="1" showInputMessage="1" showErrorMessage="1" promptTitle="SMILES" prompt="The proposed fragment structure (in SMILES notation) for the specific fragment, can be empty" sqref="C3" xr:uid="{1AD0E1CD-5D59-47F8-BDB5-E176D60E790F}"/>
    <dataValidation allowBlank="1" showInputMessage="1" showErrorMessage="1" promptTitle="Radical" prompt="Does the proposed fragment structure contain a radical electron (TRUE, FALSE, UNKNOWN)" sqref="D3" xr:uid="{F9570A36-4588-4C90-846F-1999E1BE38A0}"/>
    <dataValidation allowBlank="1" showInputMessage="1" showErrorMessage="1" promptTitle="Citation" prompt="Reference or other citation (DOI or website) for the evidence of the fragment identification. Enter USER if it is based on user interpretation only." sqref="E3" xr:uid="{FA35728E-98AB-4E18-8519-AD511D571D77}"/>
  </dataValidations>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2FE616-BBD7-461F-9C30-25514D97682D}">
  <sheetPr codeName="Sheet16"/>
  <dimension ref="A1:E8"/>
  <sheetViews>
    <sheetView workbookViewId="0">
      <selection activeCell="E13" sqref="E13"/>
    </sheetView>
  </sheetViews>
  <sheetFormatPr defaultRowHeight="15" x14ac:dyDescent="0.25"/>
  <cols>
    <col min="1" max="5" width="27.7109375" customWidth="1"/>
  </cols>
  <sheetData>
    <row r="1" spans="1:5" ht="18.75" x14ac:dyDescent="0.3">
      <c r="A1" s="2" t="s">
        <v>240</v>
      </c>
    </row>
    <row r="2" spans="1:5" x14ac:dyDescent="0.25">
      <c r="A2" s="1" t="s">
        <v>6</v>
      </c>
    </row>
    <row r="3" spans="1:5" x14ac:dyDescent="0.25">
      <c r="A3" s="1" t="s">
        <v>228</v>
      </c>
      <c r="B3" s="1" t="s">
        <v>229</v>
      </c>
      <c r="C3" s="1" t="s">
        <v>230</v>
      </c>
      <c r="D3" s="1" t="s">
        <v>231</v>
      </c>
      <c r="E3" s="1" t="s">
        <v>232</v>
      </c>
    </row>
    <row r="4" spans="1:5" x14ac:dyDescent="0.25">
      <c r="A4">
        <v>118.9911</v>
      </c>
      <c r="B4" t="s">
        <v>245</v>
      </c>
      <c r="C4" t="s">
        <v>246</v>
      </c>
      <c r="D4" t="b">
        <v>0</v>
      </c>
      <c r="E4" t="s">
        <v>244</v>
      </c>
    </row>
    <row r="5" spans="1:5" x14ac:dyDescent="0.25">
      <c r="A5">
        <v>168.98830000000001</v>
      </c>
      <c r="B5" t="s">
        <v>249</v>
      </c>
      <c r="C5" t="s">
        <v>250</v>
      </c>
      <c r="D5" t="b">
        <v>0</v>
      </c>
      <c r="E5" t="s">
        <v>244</v>
      </c>
    </row>
    <row r="6" spans="1:5" x14ac:dyDescent="0.25">
      <c r="A6">
        <v>218.9854</v>
      </c>
      <c r="B6" t="s">
        <v>242</v>
      </c>
      <c r="C6" t="s">
        <v>243</v>
      </c>
      <c r="D6" t="b">
        <v>0</v>
      </c>
      <c r="E6" t="s">
        <v>244</v>
      </c>
    </row>
    <row r="7" spans="1:5" x14ac:dyDescent="0.25">
      <c r="A7">
        <v>268.9828</v>
      </c>
      <c r="B7" t="s">
        <v>247</v>
      </c>
      <c r="C7" t="s">
        <v>248</v>
      </c>
      <c r="D7" t="b">
        <v>0</v>
      </c>
      <c r="E7" t="s">
        <v>244</v>
      </c>
    </row>
    <row r="8" spans="1:5" x14ac:dyDescent="0.25">
      <c r="A8">
        <v>318.97930000000002</v>
      </c>
      <c r="B8" t="s">
        <v>251</v>
      </c>
      <c r="C8" t="s">
        <v>252</v>
      </c>
      <c r="D8" t="b">
        <v>0</v>
      </c>
      <c r="E8" t="s">
        <v>244</v>
      </c>
    </row>
  </sheetData>
  <dataValidations count="5">
    <dataValidation allowBlank="1" showInputMessage="1" showErrorMessage="1" promptTitle="mz" prompt="Measured m/z of the fragment to be annotated" sqref="A3" xr:uid="{02ECD47A-5CA7-47DD-BD7D-EE655D098BBE}"/>
    <dataValidation allowBlank="1" showInputMessage="1" showErrorMessage="1" promptTitle="Elemental Formula" prompt="The proposed elemental formula for the specific fragment" sqref="B3" xr:uid="{003BD54F-89C2-418A-A25D-B77EA44A6D6E}"/>
    <dataValidation allowBlank="1" showInputMessage="1" showErrorMessage="1" promptTitle="SMILES" prompt="The proposed fragment structure (in SMILES notation) for the specific fragment, can be empty" sqref="C3" xr:uid="{CF83A9CC-5486-42F8-94DA-B1D41AE02FDB}"/>
    <dataValidation allowBlank="1" showInputMessage="1" showErrorMessage="1" promptTitle="Radical" prompt="Does the proposed fragment structure contain a radical electron (TRUE, FALSE, UNKNOWN)" sqref="D3" xr:uid="{4E0A93C8-2896-4930-AC13-69C781D52C3E}"/>
    <dataValidation allowBlank="1" showInputMessage="1" showErrorMessage="1" promptTitle="Citation" prompt="Reference or other citation (DOI or website) for the evidence of the fragment identification. Enter USER if it is based on user interpretation only." sqref="E3" xr:uid="{D57B4C92-6C4D-47F2-AA9C-E2633049C117}"/>
  </dataValidations>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189EE0-9A2B-479D-BBFF-D3205ED7FA7B}">
  <sheetPr codeName="Sheet15"/>
  <dimension ref="A1:E9"/>
  <sheetViews>
    <sheetView workbookViewId="0">
      <selection activeCell="B4" sqref="B4:E9"/>
    </sheetView>
  </sheetViews>
  <sheetFormatPr defaultRowHeight="15" x14ac:dyDescent="0.25"/>
  <cols>
    <col min="1" max="5" width="27.7109375" customWidth="1"/>
  </cols>
  <sheetData>
    <row r="1" spans="1:5" ht="18.75" x14ac:dyDescent="0.3">
      <c r="A1" s="2" t="s">
        <v>239</v>
      </c>
    </row>
    <row r="2" spans="1:5" x14ac:dyDescent="0.25">
      <c r="A2" s="1" t="s">
        <v>6</v>
      </c>
    </row>
    <row r="3" spans="1:5" x14ac:dyDescent="0.25">
      <c r="A3" s="1" t="s">
        <v>228</v>
      </c>
      <c r="B3" s="1" t="s">
        <v>229</v>
      </c>
      <c r="C3" s="1" t="s">
        <v>230</v>
      </c>
      <c r="D3" s="1" t="s">
        <v>231</v>
      </c>
      <c r="E3" s="1" t="s">
        <v>232</v>
      </c>
    </row>
    <row r="4" spans="1:5" x14ac:dyDescent="0.25">
      <c r="A4">
        <v>118.9911</v>
      </c>
      <c r="B4" t="s">
        <v>245</v>
      </c>
      <c r="C4" t="s">
        <v>246</v>
      </c>
      <c r="D4" t="b">
        <v>0</v>
      </c>
      <c r="E4" t="s">
        <v>244</v>
      </c>
    </row>
    <row r="5" spans="1:5" x14ac:dyDescent="0.25">
      <c r="A5">
        <v>168.98820000000001</v>
      </c>
      <c r="B5" t="s">
        <v>249</v>
      </c>
      <c r="C5" t="s">
        <v>250</v>
      </c>
      <c r="D5" t="b">
        <v>0</v>
      </c>
      <c r="E5" t="s">
        <v>244</v>
      </c>
    </row>
    <row r="6" spans="1:5" x14ac:dyDescent="0.25">
      <c r="A6">
        <v>218.98560000000001</v>
      </c>
      <c r="B6" t="s">
        <v>242</v>
      </c>
      <c r="C6" t="s">
        <v>243</v>
      </c>
      <c r="D6" t="b">
        <v>0</v>
      </c>
      <c r="E6" t="s">
        <v>244</v>
      </c>
    </row>
    <row r="7" spans="1:5" x14ac:dyDescent="0.25">
      <c r="A7">
        <v>268.983</v>
      </c>
      <c r="B7" t="s">
        <v>247</v>
      </c>
      <c r="C7" t="s">
        <v>248</v>
      </c>
      <c r="D7" t="b">
        <v>0</v>
      </c>
      <c r="E7" t="s">
        <v>244</v>
      </c>
    </row>
    <row r="8" spans="1:5" x14ac:dyDescent="0.25">
      <c r="A8">
        <v>318.97949999999997</v>
      </c>
      <c r="B8" t="s">
        <v>251</v>
      </c>
      <c r="C8" t="s">
        <v>252</v>
      </c>
      <c r="D8" t="b">
        <v>0</v>
      </c>
      <c r="E8" t="s">
        <v>244</v>
      </c>
    </row>
    <row r="9" spans="1:5" x14ac:dyDescent="0.25">
      <c r="A9">
        <v>368.97570000000002</v>
      </c>
      <c r="B9" t="s">
        <v>253</v>
      </c>
      <c r="C9" t="s">
        <v>254</v>
      </c>
      <c r="D9" t="b">
        <v>0</v>
      </c>
      <c r="E9" t="s">
        <v>244</v>
      </c>
    </row>
  </sheetData>
  <dataValidations count="5">
    <dataValidation allowBlank="1" showInputMessage="1" showErrorMessage="1" promptTitle="mz" prompt="Measured m/z of the fragment to be annotated" sqref="A3" xr:uid="{AD077ACA-6AD6-4AFF-8A83-BE3365D84A1B}"/>
    <dataValidation allowBlank="1" showInputMessage="1" showErrorMessage="1" promptTitle="Elemental Formula" prompt="The proposed elemental formula for the specific fragment" sqref="B3" xr:uid="{3D85DAB1-7C3F-46C2-A320-B9F9D14D4FD3}"/>
    <dataValidation allowBlank="1" showInputMessage="1" showErrorMessage="1" promptTitle="SMILES" prompt="The proposed fragment structure (in SMILES notation) for the specific fragment, can be empty" sqref="C3" xr:uid="{C9AA8CEC-604D-4000-914F-368EFE492F50}"/>
    <dataValidation allowBlank="1" showInputMessage="1" showErrorMessage="1" promptTitle="Radical" prompt="Does the proposed fragment structure contain a radical electron (TRUE, FALSE, UNKNOWN)" sqref="D3" xr:uid="{6111F9FF-BBEF-4BFF-9A19-D718C15962DF}"/>
    <dataValidation allowBlank="1" showInputMessage="1" showErrorMessage="1" promptTitle="Citation" prompt="Reference or other citation (DOI or website) for the evidence of the fragment identification. Enter USER if it is based on user interpretation only." sqref="E3" xr:uid="{1F58E35C-25DE-4555-9AA0-6421127AF778}"/>
  </dataValidations>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613FB5-AFBE-4916-AA53-D12F5FA8ED81}">
  <sheetPr codeName="Sheet17"/>
  <dimension ref="A1:E9"/>
  <sheetViews>
    <sheetView workbookViewId="0">
      <selection activeCell="C21" sqref="C21"/>
    </sheetView>
  </sheetViews>
  <sheetFormatPr defaultRowHeight="15" x14ac:dyDescent="0.25"/>
  <cols>
    <col min="1" max="5" width="27.7109375" customWidth="1"/>
  </cols>
  <sheetData>
    <row r="1" spans="1:5" ht="18.75" x14ac:dyDescent="0.3">
      <c r="A1" s="2" t="s">
        <v>241</v>
      </c>
    </row>
    <row r="2" spans="1:5" x14ac:dyDescent="0.25">
      <c r="A2" s="1" t="s">
        <v>6</v>
      </c>
    </row>
    <row r="3" spans="1:5" x14ac:dyDescent="0.25">
      <c r="A3" s="1" t="s">
        <v>228</v>
      </c>
      <c r="B3" s="1" t="s">
        <v>229</v>
      </c>
      <c r="C3" s="1" t="s">
        <v>230</v>
      </c>
      <c r="D3" s="1" t="s">
        <v>231</v>
      </c>
      <c r="E3" s="1" t="s">
        <v>232</v>
      </c>
    </row>
    <row r="4" spans="1:5" x14ac:dyDescent="0.25">
      <c r="A4">
        <v>118.9911</v>
      </c>
      <c r="B4" t="s">
        <v>245</v>
      </c>
      <c r="C4" t="s">
        <v>246</v>
      </c>
      <c r="D4" t="b">
        <v>0</v>
      </c>
      <c r="E4" t="s">
        <v>244</v>
      </c>
    </row>
    <row r="5" spans="1:5" x14ac:dyDescent="0.25">
      <c r="A5">
        <v>168.98830000000001</v>
      </c>
      <c r="B5" t="s">
        <v>249</v>
      </c>
      <c r="C5" t="s">
        <v>250</v>
      </c>
      <c r="D5" t="b">
        <v>0</v>
      </c>
      <c r="E5" t="s">
        <v>244</v>
      </c>
    </row>
    <row r="6" spans="1:5" x14ac:dyDescent="0.25">
      <c r="A6">
        <v>218.9855</v>
      </c>
      <c r="B6" t="s">
        <v>242</v>
      </c>
      <c r="C6" t="s">
        <v>243</v>
      </c>
      <c r="D6" t="b">
        <v>0</v>
      </c>
      <c r="E6" t="s">
        <v>244</v>
      </c>
    </row>
    <row r="7" spans="1:5" x14ac:dyDescent="0.25">
      <c r="A7">
        <v>268.98309999999998</v>
      </c>
      <c r="B7" t="s">
        <v>247</v>
      </c>
      <c r="C7" t="s">
        <v>248</v>
      </c>
      <c r="D7" t="b">
        <v>0</v>
      </c>
      <c r="E7" t="s">
        <v>244</v>
      </c>
    </row>
    <row r="8" spans="1:5" x14ac:dyDescent="0.25">
      <c r="A8">
        <v>318.9796</v>
      </c>
      <c r="B8" t="s">
        <v>251</v>
      </c>
      <c r="C8" t="s">
        <v>252</v>
      </c>
      <c r="D8" t="b">
        <v>0</v>
      </c>
      <c r="E8" t="s">
        <v>244</v>
      </c>
    </row>
    <row r="9" spans="1:5" x14ac:dyDescent="0.25">
      <c r="A9">
        <v>368.97750000000002</v>
      </c>
      <c r="B9" t="s">
        <v>253</v>
      </c>
      <c r="C9" t="s">
        <v>254</v>
      </c>
      <c r="D9" t="b">
        <v>0</v>
      </c>
      <c r="E9" t="s">
        <v>244</v>
      </c>
    </row>
  </sheetData>
  <dataValidations count="5">
    <dataValidation allowBlank="1" showInputMessage="1" showErrorMessage="1" promptTitle="mz" prompt="Measured m/z of the fragment to be annotated" sqref="A3" xr:uid="{3F208E96-5E1B-4BBB-A763-BDDC7BA8AE75}"/>
    <dataValidation allowBlank="1" showInputMessage="1" showErrorMessage="1" promptTitle="Elemental Formula" prompt="The proposed elemental formula for the specific fragment" sqref="B3" xr:uid="{07866F04-AA8F-4AFB-9377-BEB6508F88E8}"/>
    <dataValidation allowBlank="1" showInputMessage="1" showErrorMessage="1" promptTitle="SMILES" prompt="The proposed fragment structure (in SMILES notation) for the specific fragment, can be empty" sqref="C3" xr:uid="{5694BE40-0C46-4998-ADAA-40BF06F41175}"/>
    <dataValidation allowBlank="1" showInputMessage="1" showErrorMessage="1" promptTitle="Radical" prompt="Does the proposed fragment structure contain a radical electron (TRUE, FALSE, UNKNOWN)" sqref="D3" xr:uid="{2A91A7DD-8316-4723-BF37-AF132ACE37F4}"/>
    <dataValidation allowBlank="1" showInputMessage="1" showErrorMessage="1" promptTitle="Citation" prompt="Reference or other citation (DOI or website) for the evidence of the fragment identification. Enter USER if it is based on user interpretation only." sqref="E3" xr:uid="{2EA188A8-C4B3-4067-87A4-3B22786F027B}"/>
  </dataValidations>
  <pageMargins left="0.7" right="0.7" top="0.75" bottom="0.75" header="0.3" footer="0.3"/>
  <legacyDrawing r:id="rId1"/>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7A12E1-B985-40DB-8602-D6D0E65F6086}">
  <sheetPr codeName="Sheet18"/>
  <dimension ref="A1:E8"/>
  <sheetViews>
    <sheetView workbookViewId="0">
      <selection activeCell="E19" sqref="E19"/>
    </sheetView>
  </sheetViews>
  <sheetFormatPr defaultRowHeight="15" x14ac:dyDescent="0.25"/>
  <cols>
    <col min="1" max="5" width="27.7109375" customWidth="1"/>
  </cols>
  <sheetData>
    <row r="1" spans="1:5" ht="18.75" x14ac:dyDescent="0.3">
      <c r="A1" s="2" t="s">
        <v>241</v>
      </c>
    </row>
    <row r="2" spans="1:5" x14ac:dyDescent="0.25">
      <c r="A2" s="1" t="s">
        <v>6</v>
      </c>
    </row>
    <row r="3" spans="1:5" x14ac:dyDescent="0.25">
      <c r="A3" s="1" t="s">
        <v>228</v>
      </c>
      <c r="B3" s="1" t="s">
        <v>229</v>
      </c>
      <c r="C3" s="1" t="s">
        <v>230</v>
      </c>
      <c r="D3" s="1" t="s">
        <v>231</v>
      </c>
      <c r="E3" s="1" t="s">
        <v>232</v>
      </c>
    </row>
    <row r="4" spans="1:5" x14ac:dyDescent="0.25">
      <c r="A4">
        <v>118.9911</v>
      </c>
      <c r="B4" t="s">
        <v>245</v>
      </c>
      <c r="C4" t="s">
        <v>246</v>
      </c>
      <c r="D4" t="b">
        <v>0</v>
      </c>
      <c r="E4" t="s">
        <v>244</v>
      </c>
    </row>
    <row r="5" spans="1:5" x14ac:dyDescent="0.25">
      <c r="A5">
        <v>168.98830000000001</v>
      </c>
      <c r="B5" t="s">
        <v>249</v>
      </c>
      <c r="C5" t="s">
        <v>250</v>
      </c>
      <c r="D5" t="b">
        <v>0</v>
      </c>
      <c r="E5" t="s">
        <v>244</v>
      </c>
    </row>
    <row r="6" spans="1:5" x14ac:dyDescent="0.25">
      <c r="A6">
        <v>218.9855</v>
      </c>
      <c r="B6" t="s">
        <v>242</v>
      </c>
      <c r="C6" t="s">
        <v>243</v>
      </c>
      <c r="D6" t="b">
        <v>0</v>
      </c>
      <c r="E6" t="s">
        <v>244</v>
      </c>
    </row>
    <row r="7" spans="1:5" x14ac:dyDescent="0.25">
      <c r="A7">
        <v>268.98309999999998</v>
      </c>
      <c r="B7" t="s">
        <v>247</v>
      </c>
      <c r="C7" t="s">
        <v>248</v>
      </c>
      <c r="D7" t="b">
        <v>0</v>
      </c>
      <c r="E7" t="s">
        <v>244</v>
      </c>
    </row>
    <row r="8" spans="1:5" x14ac:dyDescent="0.25">
      <c r="A8">
        <v>318.97980000000001</v>
      </c>
      <c r="B8" t="s">
        <v>251</v>
      </c>
      <c r="C8" t="s">
        <v>252</v>
      </c>
      <c r="D8" t="b">
        <v>0</v>
      </c>
      <c r="E8" t="s">
        <v>244</v>
      </c>
    </row>
  </sheetData>
  <dataValidations count="5">
    <dataValidation allowBlank="1" showInputMessage="1" showErrorMessage="1" promptTitle="Citation" prompt="Reference or other citation (DOI or website) for the evidence of the fragment identification. Enter USER if it is based on user interpretation only." sqref="E3" xr:uid="{61018273-68AF-4BDD-8A64-660C399C9004}"/>
    <dataValidation allowBlank="1" showInputMessage="1" showErrorMessage="1" promptTitle="Radical" prompt="Does the proposed fragment structure contain a radical electron (TRUE, FALSE, UNKNOWN)" sqref="D3" xr:uid="{E26E3547-E570-4C1D-A9A1-045FB29F1B85}"/>
    <dataValidation allowBlank="1" showInputMessage="1" showErrorMessage="1" promptTitle="SMILES" prompt="The proposed fragment structure (in SMILES notation) for the specific fragment, can be empty" sqref="C3" xr:uid="{CBBF4BB4-1465-4DA7-9BF6-277BC5CC0BBF}"/>
    <dataValidation allowBlank="1" showInputMessage="1" showErrorMessage="1" promptTitle="Elemental Formula" prompt="The proposed elemental formula for the specific fragment" sqref="B3" xr:uid="{B80E8684-37DF-457D-AE8E-8ED1CEA9093B}"/>
    <dataValidation allowBlank="1" showInputMessage="1" showErrorMessage="1" promptTitle="mz" prompt="Measured m/z of the fragment to be annotated" sqref="A3" xr:uid="{7350AC2F-463A-4895-8F99-770DF920965F}"/>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Run</vt:lpstr>
      <vt:lpstr>Sample_Input</vt:lpstr>
      <vt:lpstr>Chromatography_Input</vt:lpstr>
      <vt:lpstr>Mass Spectrometry_Input</vt:lpstr>
      <vt:lpstr>QC Method_Input</vt:lpstr>
      <vt:lpstr>Peaks_Input</vt:lpstr>
      <vt:lpstr>Input_Validation</vt:lpstr>
      <vt:lpstr>Ann_Perfluoropentanoic acid</vt:lpstr>
      <vt:lpstr>Ann_Perfluorohexanoic acid</vt:lpstr>
      <vt:lpstr>Ann_Perfluoroheptanoic acid</vt:lpstr>
      <vt:lpstr>Ann_Perfluorooctanoic acid</vt:lpstr>
      <vt:lpstr>Ann_Perfluorononanoic acid</vt:lpstr>
      <vt:lpstr>Ann_Perfluorodecanoic acid</vt:lpstr>
      <vt:lpstr>Ann_Perfluoroundecanoic acid</vt:lpstr>
      <vt:lpstr>Ann_Perfluorododecanoic acid</vt:lpstr>
      <vt:lpstr>Ann_Perfluorotridecanoic acid</vt:lpstr>
      <vt:lpstr>Ann_Perfluorotetradecanoic acid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Place, Benjamin J. (Fed)</dc:creator>
  <cp:lastModifiedBy>Place, Benjamin J. (Fed)</cp:lastModifiedBy>
  <dcterms:created xsi:type="dcterms:W3CDTF">2021-05-27T17:33:27Z</dcterms:created>
  <dcterms:modified xsi:type="dcterms:W3CDTF">2021-07-01T18:57:46Z</dcterms:modified>
</cp:coreProperties>
</file>