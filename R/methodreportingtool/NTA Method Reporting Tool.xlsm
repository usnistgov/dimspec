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esktop\"/>
    </mc:Choice>
  </mc:AlternateContent>
  <xr:revisionPtr revIDLastSave="0" documentId="13_ncr:1_{E7B8E14F-54B4-42C5-90FE-0F1091D8B846}" xr6:coauthVersionLast="46" xr6:coauthVersionMax="46" xr10:uidLastSave="{00000000-0000-0000-0000-000000000000}"/>
  <bookViews>
    <workbookView xWindow="25080" yWindow="-120" windowWidth="25440" windowHeight="15990" xr2:uid="{90B8E717-CD35-4EBB-A047-3C52215825F8}"/>
  </bookViews>
  <sheets>
    <sheet name="Run" sheetId="10" r:id="rId1"/>
    <sheet name="Input_Validation" sheetId="11" state="hidden" r:id="rId2"/>
    <sheet name="Sample_Input" sheetId="5" r:id="rId3"/>
    <sheet name="Chromatography_Input" sheetId="1" r:id="rId4"/>
    <sheet name="Mass Spectrometry_Input" sheetId="3" r:id="rId5"/>
    <sheet name="QC Method_Input" sheetId="4" r:id="rId6"/>
    <sheet name="Peaks_Input" sheetId="8" r:id="rId7"/>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6" i="10" l="1"/>
  <c r="C7" i="10" l="1"/>
  <c r="C8" i="10" l="1"/>
  <c r="C5" i="10"/>
</calcChain>
</file>

<file path=xl/sharedStrings.xml><?xml version="1.0" encoding="utf-8"?>
<sst xmlns="http://schemas.openxmlformats.org/spreadsheetml/2006/main" count="402" uniqueCount="254">
  <si>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</si>
  <si>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</si>
  <si>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</si>
  <si>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</si>
  <si>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</si>
  <si>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</si>
  <si>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</si>
  <si>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</si>
  <si>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</si>
  <si>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</si>
  <si>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</si>
  <si>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</si>
  <si>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</si>
  <si>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</si>
  <si>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</si>
  <si>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</si>
  <si>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</si>
  <si>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</si>
  <si>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</si>
  <si>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</si>
  <si>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</si>
  <si>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</si>
  <si>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</si>
  <si>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</si>
  <si>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</si>
  <si>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</si>
  <si>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</si>
  <si>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</si>
  <si>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</si>
  <si>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</si>
  <si>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</si>
  <si>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</si>
  <si>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</si>
  <si>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</si>
  <si>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</si>
  <si>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</si>
  <si>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</si>
  <si>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</si>
  <si>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</si>
  <si>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</si>
  <si>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</si>
  <si>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</si>
  <si>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</si>
  <si>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</si>
  <si>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</si>
  <si>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</si>
  <si>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</si>
  <si>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</si>
  <si>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qcused</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</si>
  <si>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</si>
  <si>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</si>
  <si>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</si>
  <si>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</si>
  <si>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</si>
  <si>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</si>
  <si>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</si>
  <si>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</si>
  <si>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</si>
  <si>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</si>
  <si>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</si>
  <si>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</si>
  <si>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</si>
  <si>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</si>
  <si>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</si>
  <si>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</si>
  <si>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</si>
  <si>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</si>
  <si>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</si>
  <si>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</si>
  <si>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</si>
  <si>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</si>
  <si>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</si>
  <si>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</si>
  <si>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</si>
  <si>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</si>
  <si>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</si>
  <si>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</si>
  <si>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</si>
  <si>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</si>
  <si>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</si>
  <si>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</si>
  <si>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</si>
  <si>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</si>
  <si>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</si>
  <si>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</si>
  <si>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</si>
  <si>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</si>
  <si>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</si>
  <si>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</si>
  <si>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</si>
  <si>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</si>
  <si>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</si>
  <si>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</si>
  <si>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</si>
  <si>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</si>
  <si>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</si>
  <si>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</si>
  <si>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</si>
  <si>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</si>
  <si>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</si>
  <si>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</si>
  <si>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</si>
  <si>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</si>
  <si>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</si>
  <si>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</si>
  <si>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</si>
  <si>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</si>
  <si>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</si>
  <si>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</si>
  <si>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</si>
  <si>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</si>
  <si>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</si>
  <si>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</si>
  <si>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</si>
  <si>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</si>
  <si>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</si>
  <si>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</si>
  <si>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</si>
  <si>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</si>
  <si>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</si>
  <si>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</si>
  <si>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</si>
  <si>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</si>
  <si>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</si>
  <si>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</si>
  <si>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</si>
  <si>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</si>
  <si>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</si>
  <si>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</si>
  <si>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</si>
  <si>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</si>
  <si>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</si>
  <si>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</si>
  <si>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</si>
  <si>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</si>
  <si>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</si>
  <si>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</si>
  <si>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</si>
  <si>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</si>
  <si>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</si>
  <si>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</si>
  <si>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</si>
  <si>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</si>
  <si>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</si>
  <si>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</si>
  <si>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</si>
  <si>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</si>
  <si>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</si>
  <si>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</si>
  <si>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</si>
  <si>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</si>
  <si>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</si>
  <si>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</si>
  <si>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</si>
  <si>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</si>
  <si>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</si>
  <si>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</si>
  <si>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</si>
  <si>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</si>
  <si>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</si>
  <si>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</si>
  <si>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</si>
  <si>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</si>
  <si>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</si>
  <si>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</si>
  <si>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</si>
  <si>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</si>
  <si>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</si>
  <si>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</si>
  <si>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</si>
  <si>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</si>
  <si>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</si>
  <si>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</si>
  <si>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</si>
  <si>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</si>
  <si>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</si>
  <si>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</si>
  <si>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</si>
  <si>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</si>
  <si>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</si>
  <si>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</si>
  <si>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</si>
  <si>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</si>
  <si>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</si>
  <si>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</si>
  <si>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</si>
  <si>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</si>
  <si>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</si>
  <si>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</si>
  <si>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</si>
  <si>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</si>
  <si>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</si>
  <si>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</si>
  <si>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</si>
  <si>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</si>
  <si>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</si>
  <si>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</si>
  <si>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</si>
  <si>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</si>
  <si>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</si>
  <si>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</si>
  <si>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</si>
  <si>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</si>
  <si>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</si>
  <si>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</si>
  <si>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</si>
  <si>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</si>
  <si>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</si>
  <si>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</si>
  <si>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</si>
  <si>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</si>
  <si>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</si>
  <si>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</si>
  <si>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</si>
  <si>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</si>
  <si>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</si>
  <si>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</si>
  <si>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</si>
  <si>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</si>
  <si>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</si>
  <si>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</si>
  <si>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</si>
  <si>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</si>
  <si>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</si>
  <si>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</si>
  <si>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</si>
  <si>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</si>
  <si>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</si>
  <si>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</si>
  <si>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</si>
  <si>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</si>
  <si>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</si>
  <si>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</si>
  <si>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</si>
  <si>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</si>
  <si>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</si>
  <si>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</si>
  <si>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</si>
  <si>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</si>
  <si>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</si>
  <si>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</si>
  <si>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</si>
  <si>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</si>
  <si>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</si>
  <si>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</si>
  <si>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</si>
  <si>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source</t>
  </si>
  <si>
    <t>ionization</t>
  </si>
  <si>
    <t>voltage</t>
  </si>
  <si>
    <t>ce_value</t>
  </si>
  <si>
    <t>ce_desc</t>
  </si>
  <si>
    <t>ce_units</t>
  </si>
  <si>
    <t>MS Method Source</t>
  </si>
  <si>
    <t>Chromatography Method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</si>
</sst>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7">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xf numFmtId="0" fontId="6" fillId="0" borderId="0" xfId="1" applyAlignment="1">
      <alignment horizontal="left"/>
    </xf>
    <xf numFmtId="0" fontId="0" fillId="0" borderId="0" xfId="0" applyAlignment="1" applyProtection="1">
      <alignment horizontal="center"/>
    </xf>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E26" sqref="E26"/>
    </sheetView>
  </sheetViews>
  <sheetFormatPr defaultRowHeight="15" x14ac:dyDescent="0.25"/>
  <cols>
    <col min="2" max="2" width="30.140625" customWidth="1"/>
  </cols>
  <sheetData>
    <row r="1" spans="1:3" ht="21" x14ac:dyDescent="0.35">
      <c r="A1" s="7" t="s">
        <v>108</v>
      </c>
    </row>
    <row r="3" spans="1:3" x14ac:dyDescent="0.25">
      <c r="A3" s="1" t="s">
        <v>98</v>
      </c>
    </row>
    <row r="4" spans="1:3" x14ac:dyDescent="0.25">
      <c r="B4" s="1" t="s">
        <v>104</v>
      </c>
      <c r="C4" s="1" t="s">
        <v>105</v>
      </c>
    </row>
    <row r="5" spans="1:3" x14ac:dyDescent="0.25">
      <c r="B5" s="8" t="s">
        <v>99</v>
      </c>
      <c r="C5" t="b">
        <f>IF(COUNTA(Sample_Input!B4:B7)=4, TRUE, FALSE)</f>
        <v>0</v>
      </c>
    </row>
    <row r="6" spans="1:3" x14ac:dyDescent="0.25">
      <c r="B6" s="8" t="s">
        <v>100</v>
      </c>
      <c r="C6" t="b">
        <f>IF(COUNTA(Chromatography_Input!B4:B22,Chromatography_Input!B24)=20,TRUE,FALSE)</f>
        <v>0</v>
      </c>
    </row>
    <row r="7" spans="1:3" x14ac:dyDescent="0.25">
      <c r="B7" s="8" t="s">
        <v>101</v>
      </c>
      <c r="C7" t="b">
        <f>IF(COUNTA('Mass Spectrometry_Input'!B4:B20)&gt;13, TRUE, FALSE)</f>
        <v>0</v>
      </c>
    </row>
    <row r="8" spans="1:3" x14ac:dyDescent="0.25">
      <c r="B8" s="8" t="s">
        <v>102</v>
      </c>
      <c r="C8" t="b">
        <f>IF(COUNTA('QC Method_Input'!B4:B8)=5, TRUE, FALSE)</f>
        <v>0</v>
      </c>
    </row>
    <row r="9" spans="1:3" x14ac:dyDescent="0.25">
      <c r="B9" s="8" t="s">
        <v>103</v>
      </c>
      <c r="C9" t="b">
        <f>AND(COUNTA(Peaks_Input!A4:H1048576)&gt;0, COUNTA(Peaks_Input!A4:H1048576)= COUNTA(Peaks_Input!A4:A1048576)*8)</f>
        <v>0</v>
      </c>
    </row>
    <row r="11" spans="1:3" x14ac:dyDescent="0.25">
      <c r="A11" s="1" t="s">
        <v>130</v>
      </c>
    </row>
    <row r="12" spans="1:3" x14ac:dyDescent="0.25">
      <c r="B12" t="s">
        <v>132</v>
      </c>
      <c r="C12" t="b">
        <v>0</v>
      </c>
    </row>
    <row r="14" spans="1:3" x14ac:dyDescent="0.25">
      <c r="A14" s="1" t="s">
        <v>129</v>
      </c>
    </row>
    <row r="17" spans="1:2" x14ac:dyDescent="0.25">
      <c r="A17" s="1" t="s">
        <v>131</v>
      </c>
    </row>
    <row r="18" spans="1:2" x14ac:dyDescent="0.25">
      <c r="B18" t="s">
        <v>106</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59</v>
      </c>
      <c r="B1" t="s">
        <v>5</v>
      </c>
      <c r="C1" t="s">
        <v>27</v>
      </c>
      <c r="D1" t="s">
        <v>133</v>
      </c>
      <c r="E1" t="s">
        <v>1</v>
      </c>
      <c r="F1" t="s">
        <v>2</v>
      </c>
      <c r="G1" t="s">
        <v>8</v>
      </c>
      <c r="H1" t="s">
        <v>9</v>
      </c>
      <c r="I1" t="s">
        <v>10</v>
      </c>
      <c r="J1" t="s">
        <v>11</v>
      </c>
      <c r="K1" t="s">
        <v>12</v>
      </c>
      <c r="L1" t="s">
        <v>13</v>
      </c>
      <c r="M1" t="s">
        <v>180</v>
      </c>
      <c r="N1" t="s">
        <v>181</v>
      </c>
      <c r="O1" t="s">
        <v>147</v>
      </c>
      <c r="P1" t="s">
        <v>150</v>
      </c>
      <c r="Q1" t="s">
        <v>31</v>
      </c>
      <c r="R1" t="s">
        <v>32</v>
      </c>
      <c r="S1" t="s">
        <v>34</v>
      </c>
      <c r="T1" t="s">
        <v>37</v>
      </c>
      <c r="U1" t="s">
        <v>40</v>
      </c>
      <c r="V1" t="s">
        <v>43</v>
      </c>
      <c r="W1" t="s">
        <v>187</v>
      </c>
      <c r="X1" t="s">
        <v>189</v>
      </c>
      <c r="Y1" t="s">
        <v>190</v>
      </c>
      <c r="Z1" t="s">
        <v>60</v>
      </c>
      <c r="AA1" t="s">
        <v>107</v>
      </c>
      <c r="AB1" t="s">
        <v>49</v>
      </c>
      <c r="AC1" t="s">
        <v>50</v>
      </c>
      <c r="AD1" t="s">
        <v>51</v>
      </c>
      <c r="AE1" t="s">
        <v>52</v>
      </c>
      <c r="AF1" t="s">
        <v>195</v>
      </c>
    </row>
    <row r="2" spans="1:32" ht="18.75" customHeight="1" x14ac:dyDescent="0.25">
      <c r="A2" t="s">
        <v>208</v>
      </c>
      <c r="B2" t="s">
        <v>209</v>
      </c>
      <c r="C2" t="s">
        <v>210</v>
      </c>
      <c r="D2" t="s">
        <v>211</v>
      </c>
      <c r="E2" t="s">
        <v>212</v>
      </c>
      <c r="F2" t="s">
        <v>213</v>
      </c>
      <c r="G2" t="s">
        <v>214</v>
      </c>
      <c r="H2" t="s">
        <v>215</v>
      </c>
      <c r="I2" t="s">
        <v>216</v>
      </c>
      <c r="J2" t="s">
        <v>217</v>
      </c>
      <c r="K2" t="s">
        <v>218</v>
      </c>
      <c r="L2" t="s">
        <v>219</v>
      </c>
      <c r="M2" t="s">
        <v>220</v>
      </c>
      <c r="N2" t="s">
        <v>221</v>
      </c>
      <c r="O2" t="s">
        <v>222</v>
      </c>
      <c r="P2" t="s">
        <v>223</v>
      </c>
      <c r="Q2" t="s">
        <v>224</v>
      </c>
      <c r="R2" t="s">
        <v>225</v>
      </c>
      <c r="S2" t="s">
        <v>226</v>
      </c>
      <c r="T2" t="s">
        <v>227</v>
      </c>
      <c r="U2" t="s">
        <v>228</v>
      </c>
      <c r="V2" t="s">
        <v>229</v>
      </c>
      <c r="W2" t="s">
        <v>230</v>
      </c>
      <c r="X2" t="s">
        <v>231</v>
      </c>
      <c r="Y2" t="s">
        <v>232</v>
      </c>
      <c r="Z2" s="14" t="s">
        <v>239</v>
      </c>
      <c r="AA2" s="14" t="s">
        <v>234</v>
      </c>
      <c r="AB2" s="14" t="s">
        <v>235</v>
      </c>
      <c r="AC2" s="14" t="s">
        <v>236</v>
      </c>
      <c r="AD2" s="14" t="s">
        <v>237</v>
      </c>
      <c r="AE2" s="14" t="s">
        <v>238</v>
      </c>
      <c r="AF2" t="s">
        <v>233</v>
      </c>
    </row>
    <row r="3" spans="1:32" x14ac:dyDescent="0.25">
      <c r="A3" t="s">
        <v>69</v>
      </c>
      <c r="B3" t="s">
        <v>78</v>
      </c>
      <c r="C3" t="s">
        <v>7</v>
      </c>
      <c r="D3" t="s">
        <v>14</v>
      </c>
      <c r="E3" t="s">
        <v>14</v>
      </c>
      <c r="F3" t="s">
        <v>14</v>
      </c>
      <c r="G3" t="s">
        <v>14</v>
      </c>
      <c r="H3" t="s">
        <v>14</v>
      </c>
      <c r="I3" t="s">
        <v>14</v>
      </c>
      <c r="J3" t="s">
        <v>14</v>
      </c>
      <c r="K3" t="s">
        <v>14</v>
      </c>
      <c r="L3" t="s">
        <v>14</v>
      </c>
      <c r="M3" t="s">
        <v>7</v>
      </c>
      <c r="N3" t="s">
        <v>14</v>
      </c>
      <c r="O3" t="s">
        <v>14</v>
      </c>
      <c r="P3" t="s">
        <v>14</v>
      </c>
      <c r="Q3" t="s">
        <v>7</v>
      </c>
      <c r="R3" t="s">
        <v>33</v>
      </c>
      <c r="S3" t="s">
        <v>113</v>
      </c>
      <c r="T3" t="s">
        <v>38</v>
      </c>
      <c r="U3" t="s">
        <v>14</v>
      </c>
      <c r="V3" t="s">
        <v>14</v>
      </c>
      <c r="W3" t="s">
        <v>46</v>
      </c>
      <c r="X3" t="s">
        <v>127</v>
      </c>
      <c r="Y3" t="s">
        <v>126</v>
      </c>
      <c r="Z3" t="s">
        <v>14</v>
      </c>
      <c r="AA3" t="b">
        <v>1</v>
      </c>
      <c r="AB3" t="b">
        <v>1</v>
      </c>
      <c r="AC3" t="b">
        <v>1</v>
      </c>
      <c r="AD3" t="b">
        <v>1</v>
      </c>
      <c r="AE3" t="b">
        <v>1</v>
      </c>
      <c r="AF3" t="s">
        <v>197</v>
      </c>
    </row>
    <row r="4" spans="1:32" x14ac:dyDescent="0.25">
      <c r="A4" t="s">
        <v>70</v>
      </c>
      <c r="B4" t="s">
        <v>79</v>
      </c>
      <c r="C4" t="s">
        <v>28</v>
      </c>
      <c r="D4" t="s">
        <v>87</v>
      </c>
      <c r="E4" t="s">
        <v>87</v>
      </c>
      <c r="F4" t="s">
        <v>88</v>
      </c>
      <c r="G4" t="s">
        <v>87</v>
      </c>
      <c r="H4" t="s">
        <v>88</v>
      </c>
      <c r="I4" t="s">
        <v>87</v>
      </c>
      <c r="J4" t="s">
        <v>88</v>
      </c>
      <c r="K4" t="s">
        <v>87</v>
      </c>
      <c r="L4" t="s">
        <v>88</v>
      </c>
      <c r="M4" t="s">
        <v>28</v>
      </c>
      <c r="N4" t="s">
        <v>158</v>
      </c>
      <c r="O4" t="s">
        <v>7</v>
      </c>
      <c r="P4" t="s">
        <v>158</v>
      </c>
      <c r="Q4" t="s">
        <v>28</v>
      </c>
      <c r="R4" t="s">
        <v>109</v>
      </c>
      <c r="S4" t="s">
        <v>35</v>
      </c>
      <c r="T4" t="s">
        <v>114</v>
      </c>
      <c r="U4" t="s">
        <v>41</v>
      </c>
      <c r="V4" t="s">
        <v>41</v>
      </c>
      <c r="W4" t="s">
        <v>121</v>
      </c>
      <c r="X4" t="s">
        <v>128</v>
      </c>
      <c r="Y4" t="s">
        <v>38</v>
      </c>
      <c r="Z4" t="s">
        <v>123</v>
      </c>
      <c r="AA4" t="b">
        <v>0</v>
      </c>
      <c r="AB4" t="b">
        <v>0</v>
      </c>
      <c r="AC4" t="b">
        <v>0</v>
      </c>
      <c r="AD4" t="b">
        <v>0</v>
      </c>
      <c r="AE4" t="b">
        <v>0</v>
      </c>
      <c r="AF4" t="s">
        <v>196</v>
      </c>
    </row>
    <row r="5" spans="1:32" x14ac:dyDescent="0.25">
      <c r="A5" t="s">
        <v>71</v>
      </c>
      <c r="B5" t="s">
        <v>80</v>
      </c>
      <c r="C5" t="s">
        <v>82</v>
      </c>
      <c r="D5" t="s">
        <v>91</v>
      </c>
      <c r="E5" t="s">
        <v>91</v>
      </c>
      <c r="F5" t="s">
        <v>90</v>
      </c>
      <c r="G5" t="s">
        <v>91</v>
      </c>
      <c r="H5" t="s">
        <v>90</v>
      </c>
      <c r="I5" t="s">
        <v>91</v>
      </c>
      <c r="J5" t="s">
        <v>90</v>
      </c>
      <c r="K5" t="s">
        <v>91</v>
      </c>
      <c r="L5" t="s">
        <v>90</v>
      </c>
      <c r="M5" t="s">
        <v>82</v>
      </c>
      <c r="N5" t="s">
        <v>159</v>
      </c>
      <c r="O5" t="s">
        <v>28</v>
      </c>
      <c r="P5" t="s">
        <v>159</v>
      </c>
      <c r="Q5" t="s">
        <v>82</v>
      </c>
      <c r="R5" t="s">
        <v>110</v>
      </c>
      <c r="T5" t="s">
        <v>115</v>
      </c>
      <c r="U5" t="s">
        <v>118</v>
      </c>
      <c r="V5" t="s">
        <v>118</v>
      </c>
      <c r="W5" t="s">
        <v>122</v>
      </c>
      <c r="Z5" t="s">
        <v>125</v>
      </c>
      <c r="AF5" t="s">
        <v>198</v>
      </c>
    </row>
    <row r="6" spans="1:32" x14ac:dyDescent="0.25">
      <c r="A6" t="s">
        <v>73</v>
      </c>
      <c r="B6" t="s">
        <v>81</v>
      </c>
      <c r="C6" t="s">
        <v>83</v>
      </c>
      <c r="D6" t="s">
        <v>89</v>
      </c>
      <c r="E6" t="s">
        <v>89</v>
      </c>
      <c r="F6" t="s">
        <v>92</v>
      </c>
      <c r="G6" t="s">
        <v>89</v>
      </c>
      <c r="H6" t="s">
        <v>92</v>
      </c>
      <c r="I6" t="s">
        <v>89</v>
      </c>
      <c r="J6" t="s">
        <v>92</v>
      </c>
      <c r="K6" t="s">
        <v>89</v>
      </c>
      <c r="L6" t="s">
        <v>92</v>
      </c>
      <c r="M6" t="s">
        <v>83</v>
      </c>
      <c r="N6" t="s">
        <v>156</v>
      </c>
      <c r="O6" t="s">
        <v>82</v>
      </c>
      <c r="P6" t="s">
        <v>156</v>
      </c>
      <c r="Q6" t="s">
        <v>83</v>
      </c>
      <c r="R6" t="s">
        <v>111</v>
      </c>
      <c r="T6" t="s">
        <v>116</v>
      </c>
      <c r="U6" t="s">
        <v>119</v>
      </c>
      <c r="V6" t="s">
        <v>119</v>
      </c>
      <c r="W6" t="s">
        <v>188</v>
      </c>
      <c r="Z6" t="s">
        <v>124</v>
      </c>
      <c r="AF6" t="s">
        <v>199</v>
      </c>
    </row>
    <row r="7" spans="1:32" x14ac:dyDescent="0.25">
      <c r="A7" t="s">
        <v>72</v>
      </c>
      <c r="C7" t="s">
        <v>84</v>
      </c>
      <c r="D7" t="s">
        <v>93</v>
      </c>
      <c r="E7" t="s">
        <v>93</v>
      </c>
      <c r="F7" t="s">
        <v>94</v>
      </c>
      <c r="G7" t="s">
        <v>93</v>
      </c>
      <c r="H7" t="s">
        <v>94</v>
      </c>
      <c r="I7" t="s">
        <v>93</v>
      </c>
      <c r="J7" t="s">
        <v>94</v>
      </c>
      <c r="K7" t="s">
        <v>93</v>
      </c>
      <c r="L7" t="s">
        <v>94</v>
      </c>
      <c r="M7" t="s">
        <v>97</v>
      </c>
      <c r="N7" t="s">
        <v>157</v>
      </c>
      <c r="O7" t="s">
        <v>83</v>
      </c>
      <c r="P7" t="s">
        <v>157</v>
      </c>
      <c r="Q7" t="s">
        <v>84</v>
      </c>
      <c r="R7" t="s">
        <v>112</v>
      </c>
      <c r="T7" t="s">
        <v>117</v>
      </c>
      <c r="U7" t="s">
        <v>120</v>
      </c>
      <c r="V7" t="s">
        <v>120</v>
      </c>
      <c r="AF7" t="s">
        <v>200</v>
      </c>
    </row>
    <row r="8" spans="1:32" x14ac:dyDescent="0.25">
      <c r="A8" t="s">
        <v>74</v>
      </c>
      <c r="C8" t="s">
        <v>85</v>
      </c>
      <c r="D8" t="s">
        <v>167</v>
      </c>
      <c r="E8" t="s">
        <v>167</v>
      </c>
      <c r="F8" t="s">
        <v>95</v>
      </c>
      <c r="G8" t="s">
        <v>167</v>
      </c>
      <c r="H8" t="s">
        <v>95</v>
      </c>
      <c r="I8" t="s">
        <v>167</v>
      </c>
      <c r="J8" t="s">
        <v>95</v>
      </c>
      <c r="K8" t="s">
        <v>167</v>
      </c>
      <c r="L8" t="s">
        <v>95</v>
      </c>
      <c r="M8" t="s">
        <v>153</v>
      </c>
      <c r="N8" t="s">
        <v>164</v>
      </c>
      <c r="O8" t="s">
        <v>97</v>
      </c>
      <c r="P8" t="s">
        <v>164</v>
      </c>
      <c r="Q8" t="s">
        <v>85</v>
      </c>
      <c r="U8" t="s">
        <v>44</v>
      </c>
      <c r="V8" t="s">
        <v>44</v>
      </c>
      <c r="AF8" t="s">
        <v>201</v>
      </c>
    </row>
    <row r="9" spans="1:32" x14ac:dyDescent="0.25">
      <c r="A9" t="s">
        <v>75</v>
      </c>
      <c r="C9" t="s">
        <v>86</v>
      </c>
      <c r="D9" t="s">
        <v>165</v>
      </c>
      <c r="E9" t="s">
        <v>165</v>
      </c>
      <c r="F9" t="s">
        <v>96</v>
      </c>
      <c r="G9" t="s">
        <v>165</v>
      </c>
      <c r="H9" t="s">
        <v>96</v>
      </c>
      <c r="I9" t="s">
        <v>165</v>
      </c>
      <c r="J9" t="s">
        <v>96</v>
      </c>
      <c r="K9" t="s">
        <v>165</v>
      </c>
      <c r="L9" t="s">
        <v>96</v>
      </c>
      <c r="M9" t="s">
        <v>154</v>
      </c>
      <c r="N9" t="s">
        <v>160</v>
      </c>
      <c r="O9" t="s">
        <v>153</v>
      </c>
      <c r="P9" t="s">
        <v>163</v>
      </c>
      <c r="U9" t="s">
        <v>193</v>
      </c>
      <c r="V9" t="s">
        <v>193</v>
      </c>
      <c r="AF9" t="s">
        <v>202</v>
      </c>
    </row>
    <row r="10" spans="1:32" x14ac:dyDescent="0.25">
      <c r="A10" t="s">
        <v>76</v>
      </c>
      <c r="D10" t="s">
        <v>166</v>
      </c>
      <c r="E10" t="s">
        <v>166</v>
      </c>
      <c r="G10" t="s">
        <v>166</v>
      </c>
      <c r="I10" t="s">
        <v>166</v>
      </c>
      <c r="K10" t="s">
        <v>166</v>
      </c>
      <c r="M10" t="s">
        <v>155</v>
      </c>
      <c r="N10" t="s">
        <v>161</v>
      </c>
      <c r="O10" t="s">
        <v>154</v>
      </c>
      <c r="P10" t="s">
        <v>161</v>
      </c>
      <c r="AF10" t="s">
        <v>205</v>
      </c>
    </row>
    <row r="11" spans="1:32" x14ac:dyDescent="0.25">
      <c r="A11" t="s">
        <v>77</v>
      </c>
      <c r="D11" t="s">
        <v>179</v>
      </c>
      <c r="E11" t="s">
        <v>179</v>
      </c>
      <c r="G11" t="s">
        <v>179</v>
      </c>
      <c r="I11" t="s">
        <v>179</v>
      </c>
      <c r="K11" t="s">
        <v>179</v>
      </c>
      <c r="N11" t="s">
        <v>162</v>
      </c>
      <c r="O11" t="s">
        <v>155</v>
      </c>
      <c r="P11" t="s">
        <v>162</v>
      </c>
      <c r="AF11" t="s">
        <v>203</v>
      </c>
    </row>
    <row r="12" spans="1:32" x14ac:dyDescent="0.25">
      <c r="A12" t="s">
        <v>168</v>
      </c>
      <c r="AF12" t="s">
        <v>204</v>
      </c>
    </row>
    <row r="13" spans="1:32" x14ac:dyDescent="0.25">
      <c r="A13" t="s">
        <v>169</v>
      </c>
    </row>
    <row r="14" spans="1:32" x14ac:dyDescent="0.25">
      <c r="A14" t="s">
        <v>170</v>
      </c>
    </row>
    <row r="15" spans="1:32" x14ac:dyDescent="0.25">
      <c r="A15" t="s">
        <v>171</v>
      </c>
    </row>
    <row r="16" spans="1:32" x14ac:dyDescent="0.25">
      <c r="A16" t="s">
        <v>172</v>
      </c>
    </row>
    <row r="17" spans="1:1" x14ac:dyDescent="0.25">
      <c r="A17" t="s">
        <v>207</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8"/>
  <sheetViews>
    <sheetView topLeftCell="A2" workbookViewId="0">
      <selection activeCell="C12" sqref="C12"/>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55</v>
      </c>
    </row>
    <row r="2" spans="1:4" x14ac:dyDescent="0.25">
      <c r="A2" s="1" t="s">
        <v>6</v>
      </c>
    </row>
    <row r="3" spans="1:4" x14ac:dyDescent="0.25">
      <c r="A3" s="1" t="s">
        <v>4</v>
      </c>
      <c r="B3" s="4" t="s">
        <v>3</v>
      </c>
      <c r="C3" s="4"/>
      <c r="D3" s="1" t="s">
        <v>240</v>
      </c>
    </row>
    <row r="4" spans="1:4" x14ac:dyDescent="0.25">
      <c r="A4" t="s">
        <v>56</v>
      </c>
      <c r="D4" t="s">
        <v>64</v>
      </c>
    </row>
    <row r="5" spans="1:4" x14ac:dyDescent="0.25">
      <c r="A5" t="s">
        <v>57</v>
      </c>
      <c r="D5" t="s">
        <v>58</v>
      </c>
    </row>
    <row r="6" spans="1:4" x14ac:dyDescent="0.25">
      <c r="A6" t="s">
        <v>59</v>
      </c>
      <c r="B6" s="11"/>
      <c r="D6" t="s">
        <v>243</v>
      </c>
    </row>
    <row r="7" spans="1:4" x14ac:dyDescent="0.25">
      <c r="A7" t="s">
        <v>194</v>
      </c>
      <c r="B7" s="12"/>
      <c r="D7" t="s">
        <v>244</v>
      </c>
    </row>
    <row r="8" spans="1:4" x14ac:dyDescent="0.25">
      <c r="A8" t="s">
        <v>245</v>
      </c>
      <c r="B8" s="8"/>
      <c r="D8" t="s">
        <v>246</v>
      </c>
    </row>
  </sheetData>
  <sheetProtection sheet="1" objects="1" scenarios="1"/>
  <protectedRanges>
    <protectedRange sqref="B4:B8"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375C6116-F74C-48BC-BD1C-666DEB57D471}">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E14" sqref="E14"/>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240</v>
      </c>
    </row>
    <row r="4" spans="1:6" x14ac:dyDescent="0.25">
      <c r="A4" t="s">
        <v>5</v>
      </c>
      <c r="B4" s="11"/>
      <c r="D4" t="s">
        <v>145</v>
      </c>
    </row>
    <row r="5" spans="1:6" x14ac:dyDescent="0.25">
      <c r="A5" t="s">
        <v>27</v>
      </c>
      <c r="B5" s="11"/>
      <c r="D5" t="s">
        <v>29</v>
      </c>
    </row>
    <row r="6" spans="1:6" x14ac:dyDescent="0.25">
      <c r="A6" t="s">
        <v>143</v>
      </c>
      <c r="B6" s="11"/>
      <c r="D6" t="s">
        <v>144</v>
      </c>
    </row>
    <row r="7" spans="1:6" x14ac:dyDescent="0.25">
      <c r="A7" t="s">
        <v>133</v>
      </c>
      <c r="B7" s="11"/>
      <c r="D7" t="s">
        <v>134</v>
      </c>
    </row>
    <row r="8" spans="1:6" x14ac:dyDescent="0.25">
      <c r="A8" t="s">
        <v>1</v>
      </c>
      <c r="B8" s="11"/>
      <c r="D8" t="s">
        <v>15</v>
      </c>
    </row>
    <row r="9" spans="1:6" x14ac:dyDescent="0.25">
      <c r="A9" t="s">
        <v>2</v>
      </c>
      <c r="B9" s="11"/>
      <c r="D9" t="s">
        <v>16</v>
      </c>
    </row>
    <row r="10" spans="1:6" x14ac:dyDescent="0.25">
      <c r="A10" t="s">
        <v>8</v>
      </c>
      <c r="B10" s="11"/>
      <c r="D10" t="s">
        <v>146</v>
      </c>
    </row>
    <row r="11" spans="1:6" x14ac:dyDescent="0.25">
      <c r="A11" t="s">
        <v>9</v>
      </c>
      <c r="B11" s="11"/>
      <c r="D11" t="s">
        <v>17</v>
      </c>
      <c r="F11" s="6"/>
    </row>
    <row r="12" spans="1:6" x14ac:dyDescent="0.25">
      <c r="A12" t="s">
        <v>10</v>
      </c>
      <c r="B12" s="11"/>
      <c r="D12" t="s">
        <v>18</v>
      </c>
    </row>
    <row r="13" spans="1:6" x14ac:dyDescent="0.25">
      <c r="A13" t="s">
        <v>11</v>
      </c>
      <c r="B13" s="11"/>
      <c r="D13" t="s">
        <v>19</v>
      </c>
    </row>
    <row r="14" spans="1:6" x14ac:dyDescent="0.25">
      <c r="A14" t="s">
        <v>12</v>
      </c>
      <c r="B14" s="11"/>
      <c r="D14" t="s">
        <v>20</v>
      </c>
    </row>
    <row r="15" spans="1:6" x14ac:dyDescent="0.25">
      <c r="A15" t="s">
        <v>13</v>
      </c>
      <c r="B15" s="11"/>
      <c r="D15" t="s">
        <v>21</v>
      </c>
    </row>
    <row r="16" spans="1:6" x14ac:dyDescent="0.25">
      <c r="A16" t="s">
        <v>180</v>
      </c>
      <c r="B16" s="11"/>
      <c r="D16" t="s">
        <v>149</v>
      </c>
    </row>
    <row r="17" spans="1:4" x14ac:dyDescent="0.25">
      <c r="A17" t="s">
        <v>186</v>
      </c>
      <c r="B17" s="11"/>
      <c r="D17" t="s">
        <v>22</v>
      </c>
    </row>
    <row r="18" spans="1:4" x14ac:dyDescent="0.25">
      <c r="A18" t="s">
        <v>181</v>
      </c>
      <c r="B18" s="11"/>
      <c r="D18" t="s">
        <v>23</v>
      </c>
    </row>
    <row r="19" spans="1:4" x14ac:dyDescent="0.25">
      <c r="A19" t="s">
        <v>182</v>
      </c>
      <c r="B19" s="11"/>
      <c r="D19" t="s">
        <v>24</v>
      </c>
    </row>
    <row r="20" spans="1:4" x14ac:dyDescent="0.25">
      <c r="A20" t="s">
        <v>183</v>
      </c>
      <c r="B20" s="11"/>
      <c r="D20" t="s">
        <v>25</v>
      </c>
    </row>
    <row r="21" spans="1:4" x14ac:dyDescent="0.25">
      <c r="A21" t="s">
        <v>184</v>
      </c>
      <c r="B21" s="11"/>
      <c r="D21" t="s">
        <v>26</v>
      </c>
    </row>
    <row r="22" spans="1:4" x14ac:dyDescent="0.25">
      <c r="A22" t="s">
        <v>147</v>
      </c>
      <c r="D22" t="s">
        <v>148</v>
      </c>
    </row>
    <row r="23" spans="1:4" x14ac:dyDescent="0.25">
      <c r="A23" t="s">
        <v>185</v>
      </c>
      <c r="D23" t="s">
        <v>152</v>
      </c>
    </row>
    <row r="24" spans="1:4" x14ac:dyDescent="0.25">
      <c r="A24" t="s">
        <v>150</v>
      </c>
      <c r="D24" t="s">
        <v>151</v>
      </c>
    </row>
    <row r="25" spans="1:4" x14ac:dyDescent="0.25">
      <c r="A25" t="s">
        <v>173</v>
      </c>
      <c r="D25" t="s">
        <v>176</v>
      </c>
    </row>
    <row r="26" spans="1:4" x14ac:dyDescent="0.25">
      <c r="A26" t="s">
        <v>174</v>
      </c>
      <c r="D26" t="s">
        <v>177</v>
      </c>
    </row>
    <row r="27" spans="1:4" x14ac:dyDescent="0.25">
      <c r="A27" t="s">
        <v>175</v>
      </c>
      <c r="D27" t="s">
        <v>178</v>
      </c>
    </row>
    <row r="28" spans="1:4" x14ac:dyDescent="0.25">
      <c r="A28" t="s">
        <v>253</v>
      </c>
      <c r="B28" s="8"/>
      <c r="D28" t="s">
        <v>246</v>
      </c>
    </row>
  </sheetData>
  <sheetProtection sheet="1" objects="1" scenarios="1"/>
  <protectedRanges>
    <protectedRange sqref="B4:B28"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33276D27-3AF3-4F0C-ADA0-6FA137D23B50}">
          <x14:formula1>
            <xm:f>Input_Validation!$B$3:$B$6</xm:f>
          </x14:formula1>
          <xm:sqref>B4</xm:sqref>
        </x14:dataValidation>
        <x14:dataValidation type="list" allowBlank="1" showInputMessage="1" showErrorMessage="1" promptTitle="Chromatograph Vendor" prompt="Vendor/Manufacturer of the chromatograph used" xr:uid="{996C782A-B601-4B80-939F-9268A20C11D5}">
          <x14:formula1>
            <xm:f>Input_Validation!$C$3:$C$9</xm:f>
          </x14:formula1>
          <xm:sqref>B5</xm:sqref>
        </x14:dataValidation>
        <x14:dataValidation type="list" allowBlank="1" showInputMessage="1" showErrorMessage="1" promptTitle="Sample Solvent" prompt="Primary solvent consistuent of the sample, as injected." xr:uid="{CC659C82-18C9-4347-861A-0FB4B7009EDF}">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CD774ACB-FDAE-42E9-80EB-DC326EB39A82}">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70DEB4F9-49B1-4631-BD45-02C2ED49D889}">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06B8548-FB7F-4F10-A031-29E731FAF328}">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3B0EEF07-B814-44E6-AF5A-BDBFE4F0AE9A}">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5157439B-C44E-44B3-8C3E-5472AE3525D1}">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7B38D0D-2A1F-496A-9528-22E706B339F6}">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0A70200A-577C-4647-ABE0-478AD0B4B9E7}">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B15</xm:sqref>
        </x14:dataValidation>
        <x14:dataValidation type="list" allowBlank="1" showInputMessage="1" showErrorMessage="1" promptTitle="Analytical Column Vendor" prompt="Vendor/Manufacturer of the analytical column" xr:uid="{8A9AF21F-BB99-4DCE-94F1-1C88A4DA91BD}">
          <x14:formula1>
            <xm:f>Input_Validation!$M$3:$M$10</xm:f>
          </x14:formula1>
          <xm:sqref>B16</xm:sqref>
        </x14:dataValidation>
        <x14:dataValidation type="list" allowBlank="1" showInputMessage="1" showErrorMessage="1" promptTitle="Analytical Column Phase" prompt="Stationary phase chemistry/ligand of the chromatography column" xr:uid="{5C7835BA-7453-4007-B0BC-BC2B34130A87}">
          <x14:formula1>
            <xm:f>Input_Validation!$N$3:$N$11</xm:f>
          </x14:formula1>
          <xm:sqref>B18</xm:sqref>
        </x14:dataValidation>
        <x14:dataValidation type="list" allowBlank="1" showInputMessage="1" showErrorMessage="1" promptTitle="Guard Column Vendor" prompt="Vendor/Manufacturer of the guard column, use &quot;none&quot; if not used." xr:uid="{6A0A3D2E-A4CF-48FA-B35C-3FB79D2AABF9}">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8970B7-B85D-47D0-859B-6F0781B90F1A}">
          <x14:formula1>
            <xm:f>Input_Validation!$P$3:$P$11</xm:f>
          </x14:formula1>
          <xm:sqref>B24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1"/>
  <sheetViews>
    <sheetView workbookViewId="0">
      <selection activeCell="D23" sqref="D23"/>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30</v>
      </c>
    </row>
    <row r="2" spans="1:4" x14ac:dyDescent="0.25">
      <c r="A2" s="1" t="s">
        <v>6</v>
      </c>
    </row>
    <row r="3" spans="1:4" x14ac:dyDescent="0.25">
      <c r="A3" s="1" t="s">
        <v>4</v>
      </c>
      <c r="B3" s="4" t="s">
        <v>3</v>
      </c>
      <c r="C3" s="4"/>
      <c r="D3" s="1" t="s">
        <v>240</v>
      </c>
    </row>
    <row r="4" spans="1:4" x14ac:dyDescent="0.25">
      <c r="A4" t="s">
        <v>31</v>
      </c>
      <c r="B4" s="11"/>
      <c r="D4" t="s">
        <v>142</v>
      </c>
    </row>
    <row r="5" spans="1:4" x14ac:dyDescent="0.25">
      <c r="A5" t="s">
        <v>140</v>
      </c>
      <c r="B5" s="11"/>
      <c r="D5" t="s">
        <v>141</v>
      </c>
    </row>
    <row r="6" spans="1:4" x14ac:dyDescent="0.25">
      <c r="A6" t="s">
        <v>32</v>
      </c>
      <c r="B6" s="11"/>
      <c r="D6" t="s">
        <v>247</v>
      </c>
    </row>
    <row r="7" spans="1:4" x14ac:dyDescent="0.25">
      <c r="A7" t="s">
        <v>34</v>
      </c>
      <c r="B7" s="11"/>
      <c r="D7" t="s">
        <v>36</v>
      </c>
    </row>
    <row r="8" spans="1:4" x14ac:dyDescent="0.25">
      <c r="A8" t="s">
        <v>241</v>
      </c>
      <c r="B8" s="11"/>
      <c r="D8" t="s">
        <v>248</v>
      </c>
    </row>
    <row r="9" spans="1:4" x14ac:dyDescent="0.25">
      <c r="A9" t="s">
        <v>37</v>
      </c>
      <c r="B9" s="11"/>
      <c r="D9" t="s">
        <v>39</v>
      </c>
    </row>
    <row r="10" spans="1:4" x14ac:dyDescent="0.25">
      <c r="A10" t="s">
        <v>40</v>
      </c>
      <c r="B10" s="11"/>
      <c r="D10" t="s">
        <v>42</v>
      </c>
    </row>
    <row r="11" spans="1:4" x14ac:dyDescent="0.25">
      <c r="A11" t="s">
        <v>43</v>
      </c>
      <c r="B11" s="11"/>
      <c r="D11" t="s">
        <v>45</v>
      </c>
    </row>
    <row r="12" spans="1:4" x14ac:dyDescent="0.25">
      <c r="A12" t="s">
        <v>187</v>
      </c>
      <c r="B12" s="11"/>
      <c r="D12" t="s">
        <v>47</v>
      </c>
    </row>
    <row r="13" spans="1:4" x14ac:dyDescent="0.25">
      <c r="A13" t="s">
        <v>242</v>
      </c>
      <c r="B13" s="11"/>
      <c r="D13" t="s">
        <v>249</v>
      </c>
    </row>
    <row r="14" spans="1:4" x14ac:dyDescent="0.25">
      <c r="A14" t="s">
        <v>189</v>
      </c>
      <c r="B14" s="11"/>
      <c r="D14" t="s">
        <v>250</v>
      </c>
    </row>
    <row r="15" spans="1:4" x14ac:dyDescent="0.25">
      <c r="A15" t="s">
        <v>190</v>
      </c>
      <c r="B15" s="11"/>
      <c r="D15" t="s">
        <v>251</v>
      </c>
    </row>
    <row r="16" spans="1:4" x14ac:dyDescent="0.25">
      <c r="A16" t="s">
        <v>60</v>
      </c>
      <c r="B16" s="11"/>
      <c r="D16" t="s">
        <v>61</v>
      </c>
    </row>
    <row r="17" spans="1:4" x14ac:dyDescent="0.25">
      <c r="A17" t="s">
        <v>62</v>
      </c>
      <c r="B17" s="11"/>
      <c r="D17" t="s">
        <v>63</v>
      </c>
    </row>
    <row r="18" spans="1:4" x14ac:dyDescent="0.25">
      <c r="A18" t="s">
        <v>191</v>
      </c>
      <c r="B18" s="11"/>
      <c r="D18" t="s">
        <v>135</v>
      </c>
    </row>
    <row r="19" spans="1:4" x14ac:dyDescent="0.25">
      <c r="A19" t="s">
        <v>136</v>
      </c>
      <c r="B19" s="11"/>
      <c r="D19" t="s">
        <v>138</v>
      </c>
    </row>
    <row r="20" spans="1:4" x14ac:dyDescent="0.25">
      <c r="A20" t="s">
        <v>137</v>
      </c>
      <c r="B20" s="11"/>
      <c r="D20" t="s">
        <v>139</v>
      </c>
    </row>
    <row r="21" spans="1:4" x14ac:dyDescent="0.25">
      <c r="A21" t="s">
        <v>252</v>
      </c>
      <c r="B21" s="15"/>
      <c r="D21" t="s">
        <v>246</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type="decimal"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formula1>0</formula1>
      <formula2>1000000</formula2>
    </dataValidation>
    <dataValidation type="decimal" allowBlank="1" showInputMessage="1" showErrorMessage="1" promptTitle="Ionization Voltage/Current Value" prompt="Voltage/current applied for ionization, use below cell to indicate units."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47ECBEA3-822F-4B73-9A4D-32E62B61BBF0}">
          <x14:formula1>
            <xm:f>Input_Validation!$Q$3:$Q$8</xm:f>
          </x14:formula1>
          <xm:sqref>B4</xm:sqref>
        </x14:dataValidation>
        <x14:dataValidation type="list" allowBlank="1" showInputMessage="1" showErrorMessage="1" promptTitle="Ionization Mode" prompt="Mode of ionization of the mass spectrometer." xr:uid="{7012CBBC-E83E-41F7-A276-FCB7F574F3E3}">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E686BFB0-B819-4038-B9B9-B38CF32A2A80}">
          <x14:formula1>
            <xm:f>Input_Validation!$S$3:$S$4</xm:f>
          </x14:formula1>
          <xm:sqref>B7</xm:sqref>
        </x14:dataValidation>
        <x14:dataValidation type="list" allowBlank="1" showInputMessage="1" showErrorMessage="1" promptTitle="Ionization Voltage/Current Units" prompt="Units for the above-noted ionization voltage or current." xr:uid="{E5F6DADF-2EEA-40D4-96B6-3B1213971550}">
          <x14:formula1>
            <xm:f>Input_Validation!$T$3:$T$7</xm:f>
          </x14:formula1>
          <xm:sqref>B9</xm:sqref>
        </x14:dataValidation>
        <x14:dataValidation type="list" allowBlank="1" showInputMessage="1" showErrorMessage="1" promptTitle="First Mass Analyzer" prompt="First mass analyzer in the mass spectrometer." xr:uid="{6F78B77E-9123-478F-A600-E338A7666D0A}">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A0ED6EDA-3303-48A3-9EF2-DF1E1338D692}">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2E5997F-A9CD-4813-B52C-C44067ADB3DC}">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4573FA57-E721-4C25-AFAA-7B3092787386}">
          <x14:formula1>
            <xm:f>Input_Validation!$X$3:$X$4</xm:f>
          </x14:formula1>
          <xm:sqref>B14</xm:sqref>
        </x14:dataValidation>
        <x14:dataValidation type="list" allowBlank="1" showInputMessage="1" showErrorMessage="1" promptTitle="Fragmentation Energy Units" prompt="Units of the fragmentation/collision energy value above." xr:uid="{BBB994BB-E18F-4DB3-AD79-95271E01539B}">
          <x14:formula1>
            <xm:f>Input_Validation!$Y$3:$Y$4</xm:f>
          </x14:formula1>
          <xm:sqref>B15</xm:sqref>
        </x14:dataValidation>
        <x14:dataValidation type="list" allowBlank="1" showInputMessage="1" showErrorMessage="1" promptTitle="MS2 Experiment" prompt="Type of fragmentation/MS2 experiment." xr:uid="{FC39B8DB-DA91-4F3F-AB2A-7A494BEC5CEB}">
          <x14:formula1>
            <xm:f>Input_Validation!$Z$3:$Z$6</xm:f>
          </x14:formula1>
          <xm:sqref>B16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F24" sqref="F24"/>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54</v>
      </c>
    </row>
    <row r="2" spans="1:4" x14ac:dyDescent="0.25">
      <c r="A2" s="1" t="s">
        <v>6</v>
      </c>
    </row>
    <row r="3" spans="1:4" x14ac:dyDescent="0.25">
      <c r="A3" s="1" t="s">
        <v>4</v>
      </c>
      <c r="B3" s="4" t="s">
        <v>3</v>
      </c>
      <c r="C3" s="4"/>
      <c r="D3" s="1" t="s">
        <v>240</v>
      </c>
    </row>
    <row r="4" spans="1:4" x14ac:dyDescent="0.25">
      <c r="A4" t="s">
        <v>107</v>
      </c>
      <c r="B4" s="11"/>
      <c r="D4" t="s">
        <v>48</v>
      </c>
    </row>
    <row r="5" spans="1:4" x14ac:dyDescent="0.25">
      <c r="A5" t="s">
        <v>49</v>
      </c>
      <c r="B5" s="11"/>
      <c r="D5" t="s">
        <v>53</v>
      </c>
    </row>
    <row r="6" spans="1:4" x14ac:dyDescent="0.25">
      <c r="A6" t="s">
        <v>50</v>
      </c>
      <c r="B6" s="11"/>
      <c r="D6" t="s">
        <v>53</v>
      </c>
    </row>
    <row r="7" spans="1:4" x14ac:dyDescent="0.25">
      <c r="A7" t="s">
        <v>51</v>
      </c>
      <c r="B7" s="11"/>
      <c r="D7" t="s">
        <v>53</v>
      </c>
    </row>
    <row r="8" spans="1:4" x14ac:dyDescent="0.25">
      <c r="A8" t="s">
        <v>52</v>
      </c>
      <c r="B8" s="11"/>
      <c r="D8" t="s">
        <v>53</v>
      </c>
    </row>
  </sheetData>
  <sheetProtection sheet="1" objects="1" scenarios="1"/>
  <protectedRanges>
    <protectedRange sqref="B4:B8" name="qc method"/>
  </protectedRanges>
  <dataValidations count="5">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C41BBC01-2305-40A5-BFD4-23F1CFC04876}">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58F5D5A3-44F3-4B8B-B34C-C19A6819585E}">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DEA0835D-0894-4E98-8871-398EA0597B26}">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9946E300-EFD3-4B71-B5E0-1F94AA1681CE}">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A3DA08E-7BF9-4C8D-AFC2-62151558F565}">
          <x14:formula1>
            <xm:f>Input_Validation!$AE$3:$AE$4</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I9" sqref="I9"/>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30</v>
      </c>
    </row>
    <row r="2" spans="1:8" x14ac:dyDescent="0.25">
      <c r="A2" s="1" t="s">
        <v>6</v>
      </c>
    </row>
    <row r="3" spans="1:8" x14ac:dyDescent="0.25">
      <c r="A3" s="5" t="s">
        <v>64</v>
      </c>
      <c r="B3" s="9" t="s">
        <v>192</v>
      </c>
      <c r="C3" s="5" t="s">
        <v>195</v>
      </c>
      <c r="D3" s="5" t="s">
        <v>65</v>
      </c>
      <c r="E3" s="5" t="s">
        <v>66</v>
      </c>
      <c r="F3" s="5" t="s">
        <v>67</v>
      </c>
      <c r="G3" s="5" t="s">
        <v>68</v>
      </c>
      <c r="H3" s="5" t="s">
        <v>206</v>
      </c>
    </row>
    <row r="4" spans="1:8" x14ac:dyDescent="0.25">
      <c r="B4"/>
      <c r="C4" s="13"/>
      <c r="H4" s="13"/>
    </row>
    <row r="5" spans="1:8" x14ac:dyDescent="0.25">
      <c r="B5"/>
      <c r="C5" s="13"/>
      <c r="H5" s="13"/>
    </row>
    <row r="6" spans="1:8" x14ac:dyDescent="0.25">
      <c r="B6"/>
      <c r="C6" s="13"/>
      <c r="H6" s="13"/>
    </row>
    <row r="7" spans="1:8" x14ac:dyDescent="0.25">
      <c r="B7"/>
      <c r="C7" s="13"/>
      <c r="H7" s="13"/>
    </row>
    <row r="9" spans="1:8" x14ac:dyDescent="0.25">
      <c r="B9"/>
      <c r="C9" s="13"/>
      <c r="H9" s="13"/>
    </row>
    <row r="10" spans="1:8" x14ac:dyDescent="0.25">
      <c r="B10"/>
      <c r="C10" s="16"/>
      <c r="H10" s="13"/>
    </row>
    <row r="12" spans="1:8" x14ac:dyDescent="0.25">
      <c r="B12"/>
      <c r="C12" s="16"/>
      <c r="E12" s="13"/>
      <c r="F12" s="13"/>
      <c r="G12" s="13"/>
      <c r="H12" s="13"/>
    </row>
    <row r="14" spans="1:8" x14ac:dyDescent="0.25">
      <c r="B14"/>
      <c r="H14" s="13"/>
    </row>
    <row r="15" spans="1:8" x14ac:dyDescent="0.25">
      <c r="B15"/>
      <c r="H15" s="13"/>
    </row>
    <row r="16" spans="1:8" x14ac:dyDescent="0.25">
      <c r="A16" s="13"/>
      <c r="B16" s="13"/>
      <c r="D16" s="13"/>
      <c r="E16" s="13"/>
      <c r="F16" s="13"/>
      <c r="G16" s="13"/>
      <c r="H16" s="13"/>
    </row>
    <row r="17" spans="1:8" x14ac:dyDescent="0.25">
      <c r="A17" s="13"/>
      <c r="B17" s="13"/>
      <c r="D17" s="13"/>
      <c r="E17" s="13"/>
      <c r="F17" s="13"/>
      <c r="G17" s="13"/>
      <c r="H17" s="13"/>
    </row>
    <row r="18" spans="1:8" x14ac:dyDescent="0.25">
      <c r="A18" s="13"/>
      <c r="B18" s="13"/>
      <c r="D18" s="13"/>
      <c r="E18" s="13"/>
      <c r="F18" s="13"/>
      <c r="G18" s="13"/>
      <c r="H18" s="13"/>
    </row>
    <row r="19" spans="1:8" x14ac:dyDescent="0.25">
      <c r="A19" s="13"/>
      <c r="B19" s="13"/>
      <c r="D19" s="13"/>
      <c r="E19" s="13"/>
      <c r="F19" s="13"/>
      <c r="G19" s="13"/>
      <c r="H19" s="13"/>
    </row>
    <row r="20" spans="1:8" x14ac:dyDescent="0.25">
      <c r="A20" s="13"/>
      <c r="B20" s="13"/>
      <c r="D20" s="13"/>
      <c r="E20" s="13"/>
      <c r="F20" s="13"/>
      <c r="G20" s="13"/>
      <c r="H20" s="13"/>
    </row>
    <row r="21" spans="1:8" x14ac:dyDescent="0.25">
      <c r="A21" s="13"/>
      <c r="B21" s="13"/>
      <c r="D21" s="13"/>
      <c r="E21" s="13"/>
      <c r="F21" s="13"/>
      <c r="G21" s="13"/>
      <c r="H21" s="13"/>
    </row>
    <row r="22" spans="1:8" x14ac:dyDescent="0.25">
      <c r="A22" s="13"/>
      <c r="B22" s="13"/>
      <c r="D22" s="13"/>
      <c r="E22" s="13"/>
      <c r="F22" s="13"/>
      <c r="G22" s="13"/>
      <c r="H22" s="13"/>
    </row>
    <row r="23" spans="1:8" x14ac:dyDescent="0.25">
      <c r="A23" s="13"/>
      <c r="B23" s="13"/>
      <c r="D23" s="13"/>
      <c r="E23" s="13"/>
      <c r="F23" s="13"/>
      <c r="G23" s="13"/>
      <c r="H23" s="13"/>
    </row>
    <row r="24" spans="1:8" x14ac:dyDescent="0.25">
      <c r="A24" s="13"/>
      <c r="B24" s="13"/>
      <c r="D24" s="13"/>
      <c r="E24" s="13"/>
      <c r="F24" s="13"/>
      <c r="G24" s="13"/>
      <c r="H24" s="13"/>
    </row>
    <row r="25" spans="1:8" x14ac:dyDescent="0.25">
      <c r="A25" s="13"/>
      <c r="B25" s="13"/>
      <c r="D25" s="13"/>
      <c r="E25" s="13"/>
      <c r="F25" s="13"/>
      <c r="G25" s="13"/>
      <c r="H25" s="13"/>
    </row>
    <row r="26" spans="1:8" x14ac:dyDescent="0.25">
      <c r="A26" s="13"/>
      <c r="B26" s="13"/>
      <c r="D26" s="13"/>
      <c r="E26" s="13"/>
      <c r="F26" s="13"/>
      <c r="G26" s="13"/>
      <c r="H26" s="13"/>
    </row>
    <row r="27" spans="1:8" x14ac:dyDescent="0.25">
      <c r="A27" s="13"/>
      <c r="B27" s="13"/>
      <c r="D27" s="13"/>
      <c r="E27" s="13"/>
      <c r="F27" s="13"/>
      <c r="G27" s="13"/>
      <c r="H27" s="13"/>
    </row>
    <row r="28" spans="1:8" x14ac:dyDescent="0.25">
      <c r="A28" s="13"/>
      <c r="B28" s="13"/>
      <c r="D28" s="13"/>
      <c r="E28" s="13"/>
      <c r="F28" s="13"/>
      <c r="G28" s="13"/>
      <c r="H28" s="13"/>
    </row>
    <row r="29" spans="1:8" x14ac:dyDescent="0.25">
      <c r="A29" s="13"/>
      <c r="B29" s="13"/>
      <c r="D29" s="13"/>
      <c r="E29" s="13"/>
      <c r="F29" s="13"/>
      <c r="G29" s="13"/>
      <c r="H29" s="13"/>
    </row>
    <row r="30" spans="1:8" x14ac:dyDescent="0.25">
      <c r="A30" s="13"/>
      <c r="B30" s="13"/>
      <c r="D30" s="13"/>
      <c r="E30" s="13"/>
      <c r="F30" s="13"/>
      <c r="G30" s="13"/>
      <c r="H30" s="13"/>
    </row>
    <row r="31" spans="1:8" x14ac:dyDescent="0.25">
      <c r="A31" s="13"/>
      <c r="B31" s="13"/>
      <c r="D31" s="13"/>
      <c r="E31" s="13"/>
      <c r="F31" s="13"/>
      <c r="G31" s="13"/>
      <c r="H31" s="13"/>
    </row>
    <row r="39" spans="1:8" x14ac:dyDescent="0.25">
      <c r="A39" s="13"/>
      <c r="B39" s="13"/>
      <c r="D39" s="13"/>
      <c r="E39" s="13"/>
      <c r="F39" s="13"/>
      <c r="G39" s="13"/>
      <c r="H39" s="13"/>
    </row>
  </sheetData>
  <sheetProtection sheet="1" objects="1" scenarios="1"/>
  <protectedRanges>
    <protectedRange sqref="A4:H1048576" name="peaks"/>
  </protectedRanges>
  <dataValidations xWindow="344" yWindow="297"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1:H1048576 H39 H14:H31 H12 H4:H7 H9:H10"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xWindow="344" yWindow="297" count="1">
        <x14:dataValidation type="list" allowBlank="1" showInputMessage="1" showErrorMessage="1" xr:uid="{FC0D2C2B-F483-4BFD-A544-6F4549ECE9F7}">
          <x14:formula1>
            <xm:f>Input_Validation!$AF$3:$AF$12</xm:f>
          </x14:formula1>
          <xm:sqref>C41:C1048576 C39 C14:C31 C12 C4:C7 C9:C10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Run</vt:lpstr>
      <vt:lpstr>Input_Validation</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2021-09-15T15:12:58Z</dcterms:modified>
</cp:coreProperties>
</file>