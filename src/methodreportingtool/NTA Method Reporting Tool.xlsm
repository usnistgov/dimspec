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bjp\Documents\code_repository\R\compound_msdb\src\methodreportingtool\"/>
    </mc:Choice>
  </mc:AlternateContent>
  <xr:revisionPtr revIDLastSave="0" documentId="13_ncr:1_{F1268081-A5BC-46A4-855D-FBBBE8CBB83E}" xr6:coauthVersionLast="45" xr6:coauthVersionMax="45" xr10:uidLastSave="{00000000-0000-0000-0000-000000000000}"/>
  <bookViews>
    <workbookView xWindow="-120" yWindow="-120" windowWidth="25440" windowHeight="15390" xr2:uid="{90B8E717-CD35-4EBB-A047-3C52215825F8}"/>
  </bookViews>
  <sheets>
    <sheet name="Run" sheetId="10" r:id="rId1"/>
    <sheet name="Input_Validation" sheetId="11" state="hidden" r:id="rId2"/>
    <sheet name="Sample_Input" sheetId="5" r:id="rId3"/>
    <sheet name="Chromatography_Input" sheetId="1" r:id="rId4"/>
    <sheet name="Mass Spectrometry_Input" sheetId="3" r:id="rId5"/>
    <sheet name="QC Method_Input" sheetId="4" r:id="rId6"/>
    <sheet name="Peaks_Input" sheetId="8" r:id="rId7"/>
  </sheets>
  <definedNames>
    <definedName name="_xlnm._FilterDatabase" localSheetId="1"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 i="10" l="1"/>
  <c r="C6" i="10" l="1"/>
  <c r="C7" i="10" l="1"/>
  <c r="C8" i="10" l="1"/>
  <c r="C5" i="10"/>
</calcChain>
</file>

<file path=xl/sharedStrings.xml><?xml version="1.0" encoding="utf-8"?>
<sst xmlns="http://schemas.openxmlformats.org/spreadsheetml/2006/main" count="396" uniqueCount="251">
  <si>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</si>
  <si>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</si>
  <si>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</si>
  <si>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</si>
  <si>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</si>
  <si>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</si>
  <si>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</si>
  <si>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</si>
  <si>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</si>
  <si>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</si>
  <si>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</si>
  <si>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</si>
  <si>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</si>
  <si>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</si>
  <si>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</si>
  <si>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cetype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</si>
  <si>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</si>
  <si>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</si>
  <si>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</si>
  <si>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</si>
  <si>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</si>
  <si>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</si>
  <si>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</si>
  <si>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</si>
  <si>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</si>
  <si>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</si>
  <si>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</si>
  <si>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</si>
  <si>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</si>
  <si>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</si>
  <si>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</si>
  <si>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</si>
  <si>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</si>
  <si>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</si>
  <si>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electrospray ionization</t>
  </si>
  <si>
    <t>imode</t>
  </si>
  <si>
    <t>Polarity</t>
  </si>
  <si>
    <t>negative</t>
  </si>
  <si>
    <t>polarity</t>
  </si>
  <si>
    <t>vvalue</t>
  </si>
  <si>
    <t>Ionization Voltage/Current Units</t>
  </si>
  <si>
    <t>V</t>
  </si>
  <si>
    <t>vunits</t>
  </si>
  <si>
    <t>First Mass Analyzer</t>
  </si>
  <si>
    <t>quadrupole</t>
  </si>
  <si>
    <t>massanalyzer1</t>
  </si>
  <si>
    <t>Second Mass Analyzer</t>
  </si>
  <si>
    <t>orbitrap</t>
  </si>
  <si>
    <t>massanalyzer2</t>
  </si>
  <si>
    <t>HCD</t>
  </si>
  <si>
    <t>fragmode</t>
  </si>
  <si>
    <t>cevalue</t>
  </si>
  <si>
    <t>ceunits</t>
  </si>
  <si>
    <t>qcused</t>
  </si>
  <si>
    <t>Mass Analyzer Calibration</t>
  </si>
  <si>
    <t>External Standard Verification</t>
  </si>
  <si>
    <t>Internal Standard Verification</t>
  </si>
  <si>
    <t>Matrix Standard Verification</t>
  </si>
  <si>
    <t>qctype</t>
  </si>
  <si>
    <t>QC Method</t>
  </si>
  <si>
    <t>Sample Information</t>
  </si>
  <si>
    <t>File Name</t>
  </si>
  <si>
    <t>Sample Name</t>
  </si>
  <si>
    <t>filename</t>
  </si>
  <si>
    <t>description</t>
  </si>
  <si>
    <t>Sample Class</t>
  </si>
  <si>
    <t>class</t>
  </si>
  <si>
    <t>MS2 Experiment</t>
  </si>
  <si>
    <t>ms2exp</t>
  </si>
  <si>
    <t>Isolation Width/Window (Da)</t>
  </si>
  <si>
    <t>isowidth</t>
  </si>
  <si>
    <t>submitter</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</si>
  <si>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</si>
  <si>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</si>
  <si>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</si>
  <si>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</si>
  <si>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</si>
  <si>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</si>
  <si>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</si>
  <si>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</si>
  <si>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</si>
  <si>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</si>
  <si>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</si>
  <si>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</si>
  <si>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</si>
  <si>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</si>
  <si>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</si>
  <si>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</si>
  <si>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</si>
  <si>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</si>
  <si>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</si>
  <si>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</si>
  <si>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</si>
  <si>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</si>
  <si>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</si>
  <si>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</si>
  <si>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</si>
  <si>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</si>
  <si>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</si>
  <si>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</si>
  <si>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</si>
  <si>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</si>
  <si>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</si>
  <si>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</si>
  <si>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</si>
  <si>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</si>
  <si>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</si>
  <si>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</si>
  <si>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</si>
  <si>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</si>
  <si>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</si>
  <si>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</si>
  <si>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</si>
  <si>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</si>
  <si>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</si>
  <si>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</si>
  <si>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</si>
  <si>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atmospheric pressure chemical ionization</t>
  </si>
  <si>
    <t>atmospheric pressure photoionization</t>
  </si>
  <si>
    <t>chemical ionization</t>
  </si>
  <si>
    <t>electron ionization</t>
  </si>
  <si>
    <t>positive</t>
  </si>
  <si>
    <t>kV</t>
  </si>
  <si>
    <t>A</t>
  </si>
  <si>
    <t>μA</t>
  </si>
  <si>
    <t>eV</t>
  </si>
  <si>
    <t>linear ion-trap</t>
  </si>
  <si>
    <t>magnetic sector</t>
  </si>
  <si>
    <t>time-of-flight</t>
  </si>
  <si>
    <t>CID</t>
  </si>
  <si>
    <t>ECD</t>
  </si>
  <si>
    <t>DDA</t>
  </si>
  <si>
    <t>DIA</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</si>
  <si>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</si>
  <si>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</si>
  <si>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</si>
  <si>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</si>
  <si>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</si>
  <si>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</si>
  <si>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</si>
  <si>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</si>
  <si>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</si>
  <si>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</si>
  <si>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</si>
  <si>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</si>
  <si>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</si>
  <si>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</si>
  <si>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</si>
  <si>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</si>
  <si>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</si>
  <si>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</si>
  <si>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</si>
  <si>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</si>
  <si>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</si>
  <si>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</si>
  <si>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</si>
  <si>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</si>
  <si>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</si>
  <si>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</si>
  <si>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</si>
  <si>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</si>
  <si>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</si>
  <si>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</si>
  <si>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</si>
  <si>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</si>
  <si>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</si>
  <si>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</si>
  <si>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</si>
  <si>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</si>
  <si>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</si>
  <si>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</si>
  <si>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silica (no ligands)</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</si>
  <si>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</si>
  <si>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</si>
  <si>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</si>
  <si>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</si>
  <si>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</si>
  <si>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</si>
  <si>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</si>
  <si>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</si>
  <si>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</si>
  <si>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</si>
  <si>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</si>
  <si>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</si>
  <si>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</si>
  <si>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</si>
  <si>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</si>
  <si>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</si>
  <si>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</si>
  <si>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</si>
  <si>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</si>
  <si>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</si>
  <si>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</si>
  <si>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</si>
  <si>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</si>
  <si>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</si>
  <si>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</si>
  <si>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</si>
  <si>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 Units</t>
  </si>
  <si>
    <t>Instrument Mass Accuracy (ppm)</t>
  </si>
  <si>
    <t>Suspect List ID</t>
  </si>
  <si>
    <t>fourier transform ion cyclotron resonance</t>
  </si>
  <si>
    <t>Submitted by</t>
  </si>
  <si>
    <t>Ion State</t>
  </si>
  <si>
    <t>[M+H]+</t>
  </si>
  <si>
    <t>[M]+</t>
  </si>
  <si>
    <t>[M+Na]+</t>
  </si>
  <si>
    <t>[M+K]+</t>
  </si>
  <si>
    <t>[M+NH4]+</t>
  </si>
  <si>
    <t>[M-H2O+H]+</t>
  </si>
  <si>
    <t>[M]-</t>
  </si>
  <si>
    <t>[M-FCO2H]-</t>
  </si>
  <si>
    <t>[2M-H]-</t>
  </si>
  <si>
    <t>[M-H]-</t>
  </si>
  <si>
    <t>Verified?</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</si>
  <si>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</si>
  <si>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</si>
  <si>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</si>
  <si>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</si>
  <si>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</si>
  <si>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</si>
  <si>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</si>
  <si>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</si>
  <si>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</si>
  <si>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</si>
  <si>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</si>
  <si>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</si>
  <si>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</si>
  <si>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</si>
  <si>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</si>
  <si>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</si>
  <si>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</si>
  <si>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</si>
  <si>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</si>
  <si>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</si>
  <si>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</si>
  <si>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</si>
  <si>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</si>
  <si>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</si>
  <si>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</si>
  <si>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</si>
  <si>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</si>
  <si>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</si>
  <si>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</si>
  <si>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</si>
  <si>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</si>
  <si>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</si>
  <si>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</si>
  <si>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</si>
  <si>
    <t>Ionization Voltage/Current Value</t>
  </si>
  <si>
    <t>Fragmentation Energy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</si>
</sst>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sz val="11"/>
      <color theme="1"/>
      <name val="Calibri"/>
      <family val="2"/>
    </font>
    <font>
      <b/>
      <sz val="16"/>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5">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0" applyFont="1"/>
    <xf numFmtId="0" fontId="6" fillId="0" borderId="0" xfId="1"/>
    <xf numFmtId="0" fontId="6" fillId="0" borderId="0" xfId="1" applyAlignment="1">
      <alignment horizontal="center"/>
    </xf>
    <xf numFmtId="0" fontId="0" fillId="0" borderId="0" xfId="0" applyAlignment="1">
      <alignment horizontal="center"/>
    </xf>
    <xf numFmtId="0" fontId="0" fillId="0" borderId="0" xfId="0" applyAlignment="1" applyProtection="1">
      <alignment horizontal="left"/>
    </xf>
    <xf numFmtId="0" fontId="6" fillId="0" borderId="0" xfId="1" applyAlignment="1" applyProtection="1">
      <alignment horizontal="left"/>
    </xf>
    <xf numFmtId="0" fontId="0" fillId="0" borderId="0" xfId="0" applyProtection="1"/>
    <xf numFmtId="0" fontId="0" fillId="0" borderId="0" xfId="0" applyAlignment="1">
      <alignment wrapText="1"/>
    </xf>
  </cellXfs>
  <cellStyles count="2">
    <cellStyle name="Hyperlink" xfId="1" builtinId="8"/>
    <cellStyle name="Normal" xfId="0" builtinId="0"/>
  </cellStyles>
  <dxfs count="6">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Method JSON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data.nist.gov/od/id/mds2-2387"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18"/>
  <sheetViews>
    <sheetView tabSelected="1" workbookViewId="0">
      <selection activeCell="G2" sqref="G2"/>
    </sheetView>
  </sheetViews>
  <sheetFormatPr defaultRowHeight="15" x14ac:dyDescent="0.25"/>
  <cols>
    <col min="2" max="2" width="30.140625" customWidth="1"/>
  </cols>
  <sheetData>
    <row r="1" spans="1:3" ht="21" x14ac:dyDescent="0.35">
      <c r="A1" s="7" t="s">
        <v>116</v>
      </c>
    </row>
    <row r="3" spans="1:3" x14ac:dyDescent="0.25">
      <c r="A3" s="1" t="s">
        <v>106</v>
      </c>
    </row>
    <row r="4" spans="1:3" x14ac:dyDescent="0.25">
      <c r="B4" s="1" t="s">
        <v>112</v>
      </c>
      <c r="C4" s="1" t="s">
        <v>113</v>
      </c>
    </row>
    <row r="5" spans="1:3" x14ac:dyDescent="0.25">
      <c r="B5" s="8" t="s">
        <v>107</v>
      </c>
      <c r="C5" t="b">
        <f>IF(COUNTA(Sample_Input!B4:B7)=4, TRUE, FALSE)</f>
        <v>0</v>
      </c>
    </row>
    <row r="6" spans="1:3" x14ac:dyDescent="0.25">
      <c r="B6" s="8" t="s">
        <v>108</v>
      </c>
      <c r="C6" t="b">
        <f>IF(COUNTA(Chromatography_Input!B4:B22,Chromatography_Input!B24)=20,TRUE,FALSE)</f>
        <v>0</v>
      </c>
    </row>
    <row r="7" spans="1:3" x14ac:dyDescent="0.25">
      <c r="B7" s="8" t="s">
        <v>109</v>
      </c>
      <c r="C7" t="b">
        <f>IF(COUNTA('Mass Spectrometry_Input'!B4:B20)&gt;13, TRUE, FALSE)</f>
        <v>0</v>
      </c>
    </row>
    <row r="8" spans="1:3" x14ac:dyDescent="0.25">
      <c r="B8" s="8" t="s">
        <v>110</v>
      </c>
      <c r="C8" t="b">
        <f>IF(COUNTA('QC Method_Input'!B4:B8)=5, TRUE, FALSE)</f>
        <v>0</v>
      </c>
    </row>
    <row r="9" spans="1:3" x14ac:dyDescent="0.25">
      <c r="B9" s="8" t="s">
        <v>111</v>
      </c>
      <c r="C9" t="b">
        <f>AND(COUNTA(Peaks_Input!A4:H1048576)&gt;0, COUNTA(Peaks_Input!A4:H1048576)= COUNTA(Peaks_Input!A4:A1048576)*8)</f>
        <v>0</v>
      </c>
    </row>
    <row r="11" spans="1:3" x14ac:dyDescent="0.25">
      <c r="A11" s="1" t="s">
        <v>138</v>
      </c>
    </row>
    <row r="12" spans="1:3" x14ac:dyDescent="0.25">
      <c r="B12" t="s">
        <v>140</v>
      </c>
      <c r="C12" t="b">
        <v>0</v>
      </c>
    </row>
    <row r="14" spans="1:3" x14ac:dyDescent="0.25">
      <c r="A14" s="1" t="s">
        <v>137</v>
      </c>
    </row>
    <row r="17" spans="1:2" x14ac:dyDescent="0.25">
      <c r="A17" s="1" t="s">
        <v>139</v>
      </c>
    </row>
    <row r="18" spans="1:2" x14ac:dyDescent="0.25">
      <c r="B18" t="s">
        <v>114</v>
      </c>
    </row>
  </sheetData>
  <sheetProtection sheet="1" objects="1" scenarios="1"/>
  <protectedRanges>
    <protectedRange sqref="C12" name="tables"/>
  </protectedRanges>
  <conditionalFormatting sqref="C5">
    <cfRule type="cellIs" dxfId="5" priority="5" operator="equal">
      <formula>FALSE</formula>
    </cfRule>
    <cfRule type="containsText" dxfId="4" priority="11" operator="containsText" text="TRUE">
      <formula>NOT(ISERROR(SEARCH("TRUE",C5)))</formula>
    </cfRule>
  </conditionalFormatting>
  <conditionalFormatting sqref="C6:C9">
    <cfRule type="cellIs" dxfId="3" priority="3" operator="equal">
      <formula>FALSE</formula>
    </cfRule>
    <cfRule type="containsText" dxfId="2" priority="4" operator="containsText" text="TRUE">
      <formula>NOT(ISERROR(SEARCH("TRUE",C6)))</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F17"/>
  <sheetViews>
    <sheetView topLeftCell="R1" workbookViewId="0">
      <selection activeCell="Z2" sqref="Z2"/>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2" x14ac:dyDescent="0.25">
      <c r="A1" t="s">
        <v>65</v>
      </c>
      <c r="B1" t="s">
        <v>5</v>
      </c>
      <c r="C1" t="s">
        <v>28</v>
      </c>
      <c r="D1" t="s">
        <v>141</v>
      </c>
      <c r="E1" t="s">
        <v>1</v>
      </c>
      <c r="F1" t="s">
        <v>2</v>
      </c>
      <c r="G1" t="s">
        <v>8</v>
      </c>
      <c r="H1" t="s">
        <v>9</v>
      </c>
      <c r="I1" t="s">
        <v>10</v>
      </c>
      <c r="J1" t="s">
        <v>11</v>
      </c>
      <c r="K1" t="s">
        <v>12</v>
      </c>
      <c r="L1" t="s">
        <v>13</v>
      </c>
      <c r="M1" t="s">
        <v>188</v>
      </c>
      <c r="N1" t="s">
        <v>189</v>
      </c>
      <c r="O1" t="s">
        <v>155</v>
      </c>
      <c r="P1" t="s">
        <v>158</v>
      </c>
      <c r="Q1" t="s">
        <v>32</v>
      </c>
      <c r="R1" t="s">
        <v>33</v>
      </c>
      <c r="S1" t="s">
        <v>36</v>
      </c>
      <c r="T1" t="s">
        <v>40</v>
      </c>
      <c r="U1" t="s">
        <v>43</v>
      </c>
      <c r="V1" t="s">
        <v>46</v>
      </c>
      <c r="W1" t="s">
        <v>195</v>
      </c>
      <c r="X1" t="s">
        <v>197</v>
      </c>
      <c r="Y1" t="s">
        <v>198</v>
      </c>
      <c r="Z1" t="s">
        <v>67</v>
      </c>
      <c r="AA1" t="s">
        <v>115</v>
      </c>
      <c r="AB1" t="s">
        <v>54</v>
      </c>
      <c r="AC1" t="s">
        <v>55</v>
      </c>
      <c r="AD1" t="s">
        <v>56</v>
      </c>
      <c r="AE1" t="s">
        <v>57</v>
      </c>
      <c r="AF1" t="s">
        <v>203</v>
      </c>
    </row>
    <row r="2" spans="1:32" ht="18.75" customHeight="1" x14ac:dyDescent="0.25">
      <c r="A2" t="s">
        <v>216</v>
      </c>
      <c r="B2" t="s">
        <v>217</v>
      </c>
      <c r="C2" t="s">
        <v>218</v>
      </c>
      <c r="D2" t="s">
        <v>219</v>
      </c>
      <c r="E2" t="s">
        <v>220</v>
      </c>
      <c r="F2" t="s">
        <v>221</v>
      </c>
      <c r="G2" t="s">
        <v>222</v>
      </c>
      <c r="H2" t="s">
        <v>223</v>
      </c>
      <c r="I2" t="s">
        <v>224</v>
      </c>
      <c r="J2" t="s">
        <v>225</v>
      </c>
      <c r="K2" t="s">
        <v>226</v>
      </c>
      <c r="L2" t="s">
        <v>227</v>
      </c>
      <c r="M2" t="s">
        <v>228</v>
      </c>
      <c r="N2" t="s">
        <v>229</v>
      </c>
      <c r="O2" t="s">
        <v>230</v>
      </c>
      <c r="P2" t="s">
        <v>231</v>
      </c>
      <c r="Q2" t="s">
        <v>232</v>
      </c>
      <c r="R2" t="s">
        <v>233</v>
      </c>
      <c r="S2" t="s">
        <v>234</v>
      </c>
      <c r="T2" t="s">
        <v>235</v>
      </c>
      <c r="U2" t="s">
        <v>236</v>
      </c>
      <c r="V2" t="s">
        <v>237</v>
      </c>
      <c r="W2" t="s">
        <v>238</v>
      </c>
      <c r="X2" t="s">
        <v>239</v>
      </c>
      <c r="Y2" t="s">
        <v>240</v>
      </c>
      <c r="Z2" s="14" t="s">
        <v>247</v>
      </c>
      <c r="AA2" s="14" t="s">
        <v>242</v>
      </c>
      <c r="AB2" s="14" t="s">
        <v>243</v>
      </c>
      <c r="AC2" s="14" t="s">
        <v>244</v>
      </c>
      <c r="AD2" s="14" t="s">
        <v>245</v>
      </c>
      <c r="AE2" s="14" t="s">
        <v>246</v>
      </c>
      <c r="AF2" t="s">
        <v>241</v>
      </c>
    </row>
    <row r="3" spans="1:32" x14ac:dyDescent="0.25">
      <c r="A3" t="s">
        <v>77</v>
      </c>
      <c r="B3" t="s">
        <v>86</v>
      </c>
      <c r="C3" t="s">
        <v>7</v>
      </c>
      <c r="D3" t="s">
        <v>14</v>
      </c>
      <c r="E3" t="s">
        <v>14</v>
      </c>
      <c r="F3" t="s">
        <v>14</v>
      </c>
      <c r="G3" t="s">
        <v>14</v>
      </c>
      <c r="H3" t="s">
        <v>14</v>
      </c>
      <c r="I3" t="s">
        <v>14</v>
      </c>
      <c r="J3" t="s">
        <v>14</v>
      </c>
      <c r="K3" t="s">
        <v>14</v>
      </c>
      <c r="L3" t="s">
        <v>14</v>
      </c>
      <c r="M3" t="s">
        <v>7</v>
      </c>
      <c r="N3" t="s">
        <v>14</v>
      </c>
      <c r="O3" t="s">
        <v>14</v>
      </c>
      <c r="P3" t="s">
        <v>14</v>
      </c>
      <c r="Q3" t="s">
        <v>7</v>
      </c>
      <c r="R3" t="s">
        <v>34</v>
      </c>
      <c r="S3" t="s">
        <v>121</v>
      </c>
      <c r="T3" t="s">
        <v>41</v>
      </c>
      <c r="U3" t="s">
        <v>14</v>
      </c>
      <c r="V3" t="s">
        <v>14</v>
      </c>
      <c r="W3" t="s">
        <v>49</v>
      </c>
      <c r="X3" t="s">
        <v>135</v>
      </c>
      <c r="Y3" t="s">
        <v>134</v>
      </c>
      <c r="Z3" t="s">
        <v>14</v>
      </c>
      <c r="AA3" t="b">
        <v>1</v>
      </c>
      <c r="AB3" t="b">
        <v>1</v>
      </c>
      <c r="AC3" t="b">
        <v>1</v>
      </c>
      <c r="AD3" t="b">
        <v>1</v>
      </c>
      <c r="AE3" t="b">
        <v>1</v>
      </c>
      <c r="AF3" t="s">
        <v>205</v>
      </c>
    </row>
    <row r="4" spans="1:32" x14ac:dyDescent="0.25">
      <c r="A4" t="s">
        <v>78</v>
      </c>
      <c r="B4" t="s">
        <v>87</v>
      </c>
      <c r="C4" t="s">
        <v>29</v>
      </c>
      <c r="D4" t="s">
        <v>95</v>
      </c>
      <c r="E4" t="s">
        <v>95</v>
      </c>
      <c r="F4" t="s">
        <v>96</v>
      </c>
      <c r="G4" t="s">
        <v>95</v>
      </c>
      <c r="H4" t="s">
        <v>96</v>
      </c>
      <c r="I4" t="s">
        <v>95</v>
      </c>
      <c r="J4" t="s">
        <v>96</v>
      </c>
      <c r="K4" t="s">
        <v>95</v>
      </c>
      <c r="L4" t="s">
        <v>96</v>
      </c>
      <c r="M4" t="s">
        <v>29</v>
      </c>
      <c r="N4" t="s">
        <v>166</v>
      </c>
      <c r="O4" t="s">
        <v>7</v>
      </c>
      <c r="P4" t="s">
        <v>166</v>
      </c>
      <c r="Q4" t="s">
        <v>29</v>
      </c>
      <c r="R4" t="s">
        <v>117</v>
      </c>
      <c r="S4" t="s">
        <v>37</v>
      </c>
      <c r="T4" t="s">
        <v>122</v>
      </c>
      <c r="U4" t="s">
        <v>44</v>
      </c>
      <c r="V4" t="s">
        <v>44</v>
      </c>
      <c r="W4" t="s">
        <v>129</v>
      </c>
      <c r="X4" t="s">
        <v>136</v>
      </c>
      <c r="Y4" t="s">
        <v>41</v>
      </c>
      <c r="Z4" t="s">
        <v>131</v>
      </c>
      <c r="AA4" t="b">
        <v>0</v>
      </c>
      <c r="AB4" t="b">
        <v>0</v>
      </c>
      <c r="AC4" t="b">
        <v>0</v>
      </c>
      <c r="AD4" t="b">
        <v>0</v>
      </c>
      <c r="AE4" t="b">
        <v>0</v>
      </c>
      <c r="AF4" t="s">
        <v>204</v>
      </c>
    </row>
    <row r="5" spans="1:32" x14ac:dyDescent="0.25">
      <c r="A5" t="s">
        <v>79</v>
      </c>
      <c r="B5" t="s">
        <v>88</v>
      </c>
      <c r="C5" t="s">
        <v>90</v>
      </c>
      <c r="D5" t="s">
        <v>99</v>
      </c>
      <c r="E5" t="s">
        <v>99</v>
      </c>
      <c r="F5" t="s">
        <v>98</v>
      </c>
      <c r="G5" t="s">
        <v>99</v>
      </c>
      <c r="H5" t="s">
        <v>98</v>
      </c>
      <c r="I5" t="s">
        <v>99</v>
      </c>
      <c r="J5" t="s">
        <v>98</v>
      </c>
      <c r="K5" t="s">
        <v>99</v>
      </c>
      <c r="L5" t="s">
        <v>98</v>
      </c>
      <c r="M5" t="s">
        <v>90</v>
      </c>
      <c r="N5" t="s">
        <v>167</v>
      </c>
      <c r="O5" t="s">
        <v>29</v>
      </c>
      <c r="P5" t="s">
        <v>167</v>
      </c>
      <c r="Q5" t="s">
        <v>90</v>
      </c>
      <c r="R5" t="s">
        <v>118</v>
      </c>
      <c r="T5" t="s">
        <v>123</v>
      </c>
      <c r="U5" t="s">
        <v>126</v>
      </c>
      <c r="V5" t="s">
        <v>126</v>
      </c>
      <c r="W5" t="s">
        <v>130</v>
      </c>
      <c r="Z5" t="s">
        <v>133</v>
      </c>
      <c r="AF5" t="s">
        <v>206</v>
      </c>
    </row>
    <row r="6" spans="1:32" x14ac:dyDescent="0.25">
      <c r="A6" t="s">
        <v>81</v>
      </c>
      <c r="B6" t="s">
        <v>89</v>
      </c>
      <c r="C6" t="s">
        <v>91</v>
      </c>
      <c r="D6" t="s">
        <v>97</v>
      </c>
      <c r="E6" t="s">
        <v>97</v>
      </c>
      <c r="F6" t="s">
        <v>100</v>
      </c>
      <c r="G6" t="s">
        <v>97</v>
      </c>
      <c r="H6" t="s">
        <v>100</v>
      </c>
      <c r="I6" t="s">
        <v>97</v>
      </c>
      <c r="J6" t="s">
        <v>100</v>
      </c>
      <c r="K6" t="s">
        <v>97</v>
      </c>
      <c r="L6" t="s">
        <v>100</v>
      </c>
      <c r="M6" t="s">
        <v>91</v>
      </c>
      <c r="N6" t="s">
        <v>164</v>
      </c>
      <c r="O6" t="s">
        <v>90</v>
      </c>
      <c r="P6" t="s">
        <v>164</v>
      </c>
      <c r="Q6" t="s">
        <v>91</v>
      </c>
      <c r="R6" t="s">
        <v>119</v>
      </c>
      <c r="T6" t="s">
        <v>124</v>
      </c>
      <c r="U6" t="s">
        <v>127</v>
      </c>
      <c r="V6" t="s">
        <v>127</v>
      </c>
      <c r="W6" t="s">
        <v>196</v>
      </c>
      <c r="Z6" t="s">
        <v>132</v>
      </c>
      <c r="AF6" t="s">
        <v>207</v>
      </c>
    </row>
    <row r="7" spans="1:32" x14ac:dyDescent="0.25">
      <c r="A7" t="s">
        <v>80</v>
      </c>
      <c r="C7" t="s">
        <v>92</v>
      </c>
      <c r="D7" t="s">
        <v>101</v>
      </c>
      <c r="E7" t="s">
        <v>101</v>
      </c>
      <c r="F7" t="s">
        <v>102</v>
      </c>
      <c r="G7" t="s">
        <v>101</v>
      </c>
      <c r="H7" t="s">
        <v>102</v>
      </c>
      <c r="I7" t="s">
        <v>101</v>
      </c>
      <c r="J7" t="s">
        <v>102</v>
      </c>
      <c r="K7" t="s">
        <v>101</v>
      </c>
      <c r="L7" t="s">
        <v>102</v>
      </c>
      <c r="M7" t="s">
        <v>105</v>
      </c>
      <c r="N7" t="s">
        <v>165</v>
      </c>
      <c r="O7" t="s">
        <v>91</v>
      </c>
      <c r="P7" t="s">
        <v>165</v>
      </c>
      <c r="Q7" t="s">
        <v>92</v>
      </c>
      <c r="R7" t="s">
        <v>120</v>
      </c>
      <c r="T7" t="s">
        <v>125</v>
      </c>
      <c r="U7" t="s">
        <v>128</v>
      </c>
      <c r="V7" t="s">
        <v>128</v>
      </c>
      <c r="AF7" t="s">
        <v>208</v>
      </c>
    </row>
    <row r="8" spans="1:32" x14ac:dyDescent="0.25">
      <c r="A8" t="s">
        <v>82</v>
      </c>
      <c r="C8" t="s">
        <v>93</v>
      </c>
      <c r="D8" t="s">
        <v>175</v>
      </c>
      <c r="E8" t="s">
        <v>175</v>
      </c>
      <c r="F8" t="s">
        <v>103</v>
      </c>
      <c r="G8" t="s">
        <v>175</v>
      </c>
      <c r="H8" t="s">
        <v>103</v>
      </c>
      <c r="I8" t="s">
        <v>175</v>
      </c>
      <c r="J8" t="s">
        <v>103</v>
      </c>
      <c r="K8" t="s">
        <v>175</v>
      </c>
      <c r="L8" t="s">
        <v>103</v>
      </c>
      <c r="M8" t="s">
        <v>161</v>
      </c>
      <c r="N8" t="s">
        <v>172</v>
      </c>
      <c r="O8" t="s">
        <v>105</v>
      </c>
      <c r="P8" t="s">
        <v>172</v>
      </c>
      <c r="Q8" t="s">
        <v>93</v>
      </c>
      <c r="U8" t="s">
        <v>47</v>
      </c>
      <c r="V8" t="s">
        <v>47</v>
      </c>
      <c r="AF8" t="s">
        <v>209</v>
      </c>
    </row>
    <row r="9" spans="1:32" x14ac:dyDescent="0.25">
      <c r="A9" t="s">
        <v>83</v>
      </c>
      <c r="C9" t="s">
        <v>94</v>
      </c>
      <c r="D9" t="s">
        <v>173</v>
      </c>
      <c r="E9" t="s">
        <v>173</v>
      </c>
      <c r="F9" t="s">
        <v>104</v>
      </c>
      <c r="G9" t="s">
        <v>173</v>
      </c>
      <c r="H9" t="s">
        <v>104</v>
      </c>
      <c r="I9" t="s">
        <v>173</v>
      </c>
      <c r="J9" t="s">
        <v>104</v>
      </c>
      <c r="K9" t="s">
        <v>173</v>
      </c>
      <c r="L9" t="s">
        <v>104</v>
      </c>
      <c r="M9" t="s">
        <v>162</v>
      </c>
      <c r="N9" t="s">
        <v>168</v>
      </c>
      <c r="O9" t="s">
        <v>161</v>
      </c>
      <c r="P9" t="s">
        <v>171</v>
      </c>
      <c r="U9" t="s">
        <v>201</v>
      </c>
      <c r="V9" t="s">
        <v>201</v>
      </c>
      <c r="AF9" t="s">
        <v>210</v>
      </c>
    </row>
    <row r="10" spans="1:32" x14ac:dyDescent="0.25">
      <c r="A10" t="s">
        <v>84</v>
      </c>
      <c r="D10" t="s">
        <v>174</v>
      </c>
      <c r="E10" t="s">
        <v>174</v>
      </c>
      <c r="G10" t="s">
        <v>174</v>
      </c>
      <c r="I10" t="s">
        <v>174</v>
      </c>
      <c r="K10" t="s">
        <v>174</v>
      </c>
      <c r="M10" t="s">
        <v>163</v>
      </c>
      <c r="N10" t="s">
        <v>169</v>
      </c>
      <c r="O10" t="s">
        <v>162</v>
      </c>
      <c r="P10" t="s">
        <v>169</v>
      </c>
      <c r="AF10" t="s">
        <v>213</v>
      </c>
    </row>
    <row r="11" spans="1:32" x14ac:dyDescent="0.25">
      <c r="A11" t="s">
        <v>85</v>
      </c>
      <c r="D11" t="s">
        <v>187</v>
      </c>
      <c r="E11" t="s">
        <v>187</v>
      </c>
      <c r="G11" t="s">
        <v>187</v>
      </c>
      <c r="I11" t="s">
        <v>187</v>
      </c>
      <c r="K11" t="s">
        <v>187</v>
      </c>
      <c r="N11" t="s">
        <v>170</v>
      </c>
      <c r="O11" t="s">
        <v>163</v>
      </c>
      <c r="P11" t="s">
        <v>170</v>
      </c>
      <c r="AF11" t="s">
        <v>211</v>
      </c>
    </row>
    <row r="12" spans="1:32" x14ac:dyDescent="0.25">
      <c r="A12" t="s">
        <v>176</v>
      </c>
      <c r="AF12" t="s">
        <v>212</v>
      </c>
    </row>
    <row r="13" spans="1:32" x14ac:dyDescent="0.25">
      <c r="A13" t="s">
        <v>177</v>
      </c>
    </row>
    <row r="14" spans="1:32" x14ac:dyDescent="0.25">
      <c r="A14" t="s">
        <v>178</v>
      </c>
    </row>
    <row r="15" spans="1:32" x14ac:dyDescent="0.25">
      <c r="A15" t="s">
        <v>179</v>
      </c>
    </row>
    <row r="16" spans="1:32" x14ac:dyDescent="0.25">
      <c r="A16" t="s">
        <v>180</v>
      </c>
    </row>
    <row r="17" spans="1:1" x14ac:dyDescent="0.25">
      <c r="A17" t="s">
        <v>215</v>
      </c>
    </row>
  </sheetData>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D7"/>
  <sheetViews>
    <sheetView workbookViewId="0">
      <selection activeCell="C30" sqref="C30"/>
    </sheetView>
  </sheetViews>
  <sheetFormatPr defaultRowHeight="15" x14ac:dyDescent="0.25"/>
  <cols>
    <col min="1" max="1" width="22.85546875" bestFit="1" customWidth="1"/>
    <col min="2" max="2" width="25.85546875" style="3" bestFit="1" customWidth="1"/>
    <col min="3" max="3" width="23.85546875" style="3" customWidth="1"/>
    <col min="4" max="4" width="12.28515625" bestFit="1" customWidth="1"/>
  </cols>
  <sheetData>
    <row r="1" spans="1:4" ht="18.75" x14ac:dyDescent="0.3">
      <c r="A1" s="2" t="s">
        <v>60</v>
      </c>
    </row>
    <row r="2" spans="1:4" x14ac:dyDescent="0.25">
      <c r="A2" s="1" t="s">
        <v>6</v>
      </c>
    </row>
    <row r="3" spans="1:4" x14ac:dyDescent="0.25">
      <c r="A3" s="1" t="s">
        <v>4</v>
      </c>
      <c r="B3" s="4" t="s">
        <v>3</v>
      </c>
      <c r="C3" s="4"/>
      <c r="D3" s="1" t="s">
        <v>248</v>
      </c>
    </row>
    <row r="4" spans="1:4" x14ac:dyDescent="0.25">
      <c r="A4" t="s">
        <v>61</v>
      </c>
      <c r="D4" t="s">
        <v>63</v>
      </c>
    </row>
    <row r="5" spans="1:4" x14ac:dyDescent="0.25">
      <c r="A5" t="s">
        <v>62</v>
      </c>
      <c r="D5" t="s">
        <v>64</v>
      </c>
    </row>
    <row r="6" spans="1:4" x14ac:dyDescent="0.25">
      <c r="A6" t="s">
        <v>65</v>
      </c>
      <c r="B6" s="11"/>
      <c r="D6" t="s">
        <v>66</v>
      </c>
    </row>
    <row r="7" spans="1:4" x14ac:dyDescent="0.25">
      <c r="A7" t="s">
        <v>202</v>
      </c>
      <c r="B7" s="12"/>
      <c r="D7" t="s">
        <v>71</v>
      </c>
    </row>
  </sheetData>
  <sheetProtection sheet="1" objects="1" scenarios="1"/>
  <protectedRanges>
    <protectedRange sqref="B4:B7" name="sample"/>
  </protectedRanges>
  <dataValidations count="7">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By" prompt="Unique identifier for user and/or laboratory that submits the data. Typically user email." sqref="B7" xr:uid="{BE995708-63E4-4A7C-82C6-00E39CF7A4D8}"/>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375C6116-F74C-48BC-BD1C-666DEB57D471}">
          <x14:formula1>
            <xm:f>Input_Validation!$A$3:$A$17</xm:f>
          </x14:formula1>
          <xm:sqref>B6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7"/>
  <sheetViews>
    <sheetView workbookViewId="0">
      <selection activeCell="B4" sqref="B4:B27"/>
    </sheetView>
  </sheetViews>
  <sheetFormatPr defaultRowHeight="15" x14ac:dyDescent="0.25"/>
  <cols>
    <col min="1" max="1" width="47.85546875" bestFit="1" customWidth="1"/>
    <col min="2" max="2" width="23" style="3" customWidth="1"/>
    <col min="3" max="3" width="22.28515625" style="3" customWidth="1"/>
    <col min="4" max="4" width="14.7109375" bestFit="1" customWidth="1"/>
  </cols>
  <sheetData>
    <row r="1" spans="1:6" ht="18.75" x14ac:dyDescent="0.3">
      <c r="A1" s="2" t="s">
        <v>0</v>
      </c>
    </row>
    <row r="2" spans="1:6" x14ac:dyDescent="0.25">
      <c r="A2" s="1" t="s">
        <v>6</v>
      </c>
    </row>
    <row r="3" spans="1:6" x14ac:dyDescent="0.25">
      <c r="A3" s="1" t="s">
        <v>4</v>
      </c>
      <c r="B3" s="4" t="s">
        <v>3</v>
      </c>
      <c r="C3" s="4"/>
      <c r="D3" s="1" t="s">
        <v>248</v>
      </c>
    </row>
    <row r="4" spans="1:6" x14ac:dyDescent="0.25">
      <c r="A4" t="s">
        <v>5</v>
      </c>
      <c r="B4" s="11"/>
      <c r="D4" t="s">
        <v>153</v>
      </c>
    </row>
    <row r="5" spans="1:6" x14ac:dyDescent="0.25">
      <c r="A5" t="s">
        <v>28</v>
      </c>
      <c r="B5" s="11"/>
      <c r="D5" t="s">
        <v>30</v>
      </c>
    </row>
    <row r="6" spans="1:6" x14ac:dyDescent="0.25">
      <c r="A6" t="s">
        <v>151</v>
      </c>
      <c r="B6" s="11"/>
      <c r="D6" t="s">
        <v>152</v>
      </c>
    </row>
    <row r="7" spans="1:6" x14ac:dyDescent="0.25">
      <c r="A7" t="s">
        <v>141</v>
      </c>
      <c r="B7" s="11"/>
      <c r="D7" t="s">
        <v>142</v>
      </c>
    </row>
    <row r="8" spans="1:6" x14ac:dyDescent="0.25">
      <c r="A8" t="s">
        <v>1</v>
      </c>
      <c r="B8" s="11"/>
      <c r="D8" t="s">
        <v>16</v>
      </c>
    </row>
    <row r="9" spans="1:6" x14ac:dyDescent="0.25">
      <c r="A9" t="s">
        <v>2</v>
      </c>
      <c r="B9" s="11"/>
      <c r="D9" t="s">
        <v>17</v>
      </c>
    </row>
    <row r="10" spans="1:6" x14ac:dyDescent="0.25">
      <c r="A10" t="s">
        <v>8</v>
      </c>
      <c r="B10" s="11"/>
      <c r="D10" t="s">
        <v>154</v>
      </c>
    </row>
    <row r="11" spans="1:6" x14ac:dyDescent="0.25">
      <c r="A11" t="s">
        <v>9</v>
      </c>
      <c r="B11" s="11"/>
      <c r="D11" t="s">
        <v>18</v>
      </c>
      <c r="F11" s="6"/>
    </row>
    <row r="12" spans="1:6" x14ac:dyDescent="0.25">
      <c r="A12" t="s">
        <v>10</v>
      </c>
      <c r="B12" s="11"/>
      <c r="D12" t="s">
        <v>19</v>
      </c>
    </row>
    <row r="13" spans="1:6" x14ac:dyDescent="0.25">
      <c r="A13" t="s">
        <v>11</v>
      </c>
      <c r="B13" s="11"/>
      <c r="D13" t="s">
        <v>20</v>
      </c>
    </row>
    <row r="14" spans="1:6" x14ac:dyDescent="0.25">
      <c r="A14" t="s">
        <v>12</v>
      </c>
      <c r="B14" s="11"/>
      <c r="D14" t="s">
        <v>21</v>
      </c>
    </row>
    <row r="15" spans="1:6" x14ac:dyDescent="0.25">
      <c r="A15" t="s">
        <v>13</v>
      </c>
      <c r="B15" s="11"/>
      <c r="D15" t="s">
        <v>22</v>
      </c>
    </row>
    <row r="16" spans="1:6" x14ac:dyDescent="0.25">
      <c r="A16" t="s">
        <v>188</v>
      </c>
      <c r="B16" s="11"/>
      <c r="D16" t="s">
        <v>157</v>
      </c>
    </row>
    <row r="17" spans="1:4" x14ac:dyDescent="0.25">
      <c r="A17" t="s">
        <v>194</v>
      </c>
      <c r="B17" s="11"/>
      <c r="D17" t="s">
        <v>23</v>
      </c>
    </row>
    <row r="18" spans="1:4" x14ac:dyDescent="0.25">
      <c r="A18" t="s">
        <v>189</v>
      </c>
      <c r="B18" s="11"/>
      <c r="D18" t="s">
        <v>24</v>
      </c>
    </row>
    <row r="19" spans="1:4" x14ac:dyDescent="0.25">
      <c r="A19" t="s">
        <v>190</v>
      </c>
      <c r="B19" s="11"/>
      <c r="D19" t="s">
        <v>25</v>
      </c>
    </row>
    <row r="20" spans="1:4" x14ac:dyDescent="0.25">
      <c r="A20" t="s">
        <v>191</v>
      </c>
      <c r="B20" s="11"/>
      <c r="D20" t="s">
        <v>26</v>
      </c>
    </row>
    <row r="21" spans="1:4" x14ac:dyDescent="0.25">
      <c r="A21" t="s">
        <v>192</v>
      </c>
      <c r="B21" s="11"/>
      <c r="D21" t="s">
        <v>27</v>
      </c>
    </row>
    <row r="22" spans="1:4" x14ac:dyDescent="0.25">
      <c r="A22" t="s">
        <v>155</v>
      </c>
      <c r="D22" t="s">
        <v>156</v>
      </c>
    </row>
    <row r="23" spans="1:4" x14ac:dyDescent="0.25">
      <c r="A23" t="s">
        <v>193</v>
      </c>
      <c r="D23" t="s">
        <v>160</v>
      </c>
    </row>
    <row r="24" spans="1:4" x14ac:dyDescent="0.25">
      <c r="A24" t="s">
        <v>158</v>
      </c>
      <c r="D24" t="s">
        <v>159</v>
      </c>
    </row>
    <row r="25" spans="1:4" x14ac:dyDescent="0.25">
      <c r="A25" t="s">
        <v>181</v>
      </c>
      <c r="D25" t="s">
        <v>184</v>
      </c>
    </row>
    <row r="26" spans="1:4" x14ac:dyDescent="0.25">
      <c r="A26" t="s">
        <v>182</v>
      </c>
      <c r="D26" t="s">
        <v>185</v>
      </c>
    </row>
    <row r="27" spans="1:4" x14ac:dyDescent="0.25">
      <c r="A27" t="s">
        <v>183</v>
      </c>
      <c r="D27" t="s">
        <v>186</v>
      </c>
    </row>
  </sheetData>
  <sheetProtection sheet="1" objects="1" scenarios="1"/>
  <protectedRanges>
    <protectedRange sqref="B4:B27" name="chromatography"/>
  </protectedRanges>
  <dataValidations count="27">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 xr:uid="{AD1A6E9A-9935-4225-BF2B-8DC9BF9171F5}"/>
    <dataValidation allowBlank="1" showErrorMessage="1" promptTitle="Chromatography Column Vendor" sqref="A16" xr:uid="{09015A4C-A8B3-4325-AE84-70762CABAFD2}"/>
    <dataValidation allowBlank="1" showErrorMessage="1" promptTitle="Name of Chromatography Column" sqref="A17" xr:uid="{D8FEE04C-0AC4-42FF-B7CE-A8EE838E5966}"/>
    <dataValidation allowBlank="1" showErrorMessage="1" promptTitle="Column phase" sqref="A18" xr:uid="{46321A32-1616-4D08-A185-2687955DC0DA}"/>
    <dataValidation allowBlank="1" showErrorMessage="1" promptTitle="Column Inner Diameter" sqref="A19" xr:uid="{6172C91F-25E6-4960-98C9-84AE9AA491AB}"/>
    <dataValidation allowBlank="1" showInputMessage="1" showErrorMessage="1" promptTitle="Column Length" sqref="A20" xr:uid="{5057E367-42B7-4882-AC35-2181FF17E8B7}"/>
    <dataValidation allowBlank="1" showErrorMessage="1" promptTitle="Particle Diameter/Film Thickness" prompt="." sqref="A21"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19"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0"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1"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17"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7"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23"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25"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6" xr:uid="{A556613B-B223-4F39-9307-76B27D7A8D1A}">
      <formula1>0</formula1>
      <formula2>500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5">
        <x14:dataValidation type="list" allowBlank="1" showInputMessage="1" showErrorMessage="1" promptTitle="Type of Chromatography" prompt="Type of Chromatography used for method." xr:uid="{33276D27-3AF3-4F0C-ADA0-6FA137D23B50}">
          <x14:formula1>
            <xm:f>Input_Validation!$B$3:$B$6</xm:f>
          </x14:formula1>
          <xm:sqref>B4</xm:sqref>
        </x14:dataValidation>
        <x14:dataValidation type="list" allowBlank="1" showInputMessage="1" showErrorMessage="1" promptTitle="Chromatograph Vendor" prompt="Vendor/Manufacturer of the chromatograph used" xr:uid="{996C782A-B601-4B80-939F-9268A20C11D5}">
          <x14:formula1>
            <xm:f>Input_Validation!$C$3:$C$9</xm:f>
          </x14:formula1>
          <xm:sqref>B5</xm:sqref>
        </x14:dataValidation>
        <x14:dataValidation type="list" allowBlank="1" showInputMessage="1" showErrorMessage="1" promptTitle="Sample Solvent" prompt="Primary solvent consistuent of the sample, as injected." xr:uid="{CC659C82-18C9-4347-861A-0FB4B7009EDF}">
          <x14:formula1>
            <xm:f>Input_Validation!$D$3:$D$11</xm:f>
          </x14:formula1>
          <xm:sqref>B7</xm:sqref>
        </x14:dataValidation>
        <x14:dataValidation type="list" allowBlank="1" showInputMessage="1" showErrorMessage="1" promptTitle="Mobile Phase 1 Solvent" prompt="The primary solvent component (&gt;= 50 %)of the chromatography mobile phase 1 (mobile phase A). Use 'none' if using GC or no chromatography." xr:uid="{CD774ACB-FDAE-42E9-80EB-DC326EB39A82}">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70DEB4F9-49B1-4631-BD45-02C2ED49D889}">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C06B8548-FB7F-4F10-A031-29E731FAF328}">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3B0EEF07-B814-44E6-AF5A-BDBFE4F0AE9A}">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5157439B-C44E-44B3-8C3E-5472AE3525D1}">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A7B38D0D-2A1F-496A-9528-22E706B339F6}">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0A70200A-577C-4647-ABE0-478AD0B4B9E7}">
          <x14:formula1>
            <xm:f>Input_Validation!$K$3:$K$11</xm:f>
          </x14:formula1>
          <xm:sqref>B14</xm:sqref>
        </x14:dataValidation>
        <x14:dataValidation type="list" allowBlank="1" showInputMessage="1" showErrorMessage="1" promptTitle="Mobile Phase 4 Additive" prompt="The primary buffer/acid/base additive used in mobile phase 4 (mobile phase D)" xr:uid="{07A7D6A9-398E-41C6-9649-9280D1D33FAE}">
          <x14:formula1>
            <xm:f>Input_Validation!$L$3:$L$9</xm:f>
          </x14:formula1>
          <xm:sqref>B15</xm:sqref>
        </x14:dataValidation>
        <x14:dataValidation type="list" allowBlank="1" showInputMessage="1" showErrorMessage="1" promptTitle="Analytical Column Vendor" prompt="Vendor/Manufacturer of the analytical column" xr:uid="{8A9AF21F-BB99-4DCE-94F1-1C88A4DA91BD}">
          <x14:formula1>
            <xm:f>Input_Validation!$M$3:$M$10</xm:f>
          </x14:formula1>
          <xm:sqref>B16</xm:sqref>
        </x14:dataValidation>
        <x14:dataValidation type="list" allowBlank="1" showInputMessage="1" showErrorMessage="1" promptTitle="Analytical Column Phase" prompt="Stationary phase chemistry/ligand of the chromatography column" xr:uid="{5C7835BA-7453-4007-B0BC-BC2B34130A87}">
          <x14:formula1>
            <xm:f>Input_Validation!$N$3:$N$11</xm:f>
          </x14:formula1>
          <xm:sqref>B18</xm:sqref>
        </x14:dataValidation>
        <x14:dataValidation type="list" allowBlank="1" showInputMessage="1" showErrorMessage="1" promptTitle="Guard Column Vendor" prompt="Vendor/Manufacturer of the guard column, use &quot;none&quot; if not used." xr:uid="{6A0A3D2E-A4CF-48FA-B35C-3FB79D2AABF9}">
          <x14:formula1>
            <xm:f>Input_Validation!$O$3:$O$11</xm:f>
          </x14:formula1>
          <xm:sqref>B22</xm:sqref>
        </x14:dataValidation>
        <x14:dataValidation type="list" allowBlank="1" showInputMessage="1" showErrorMessage="1" promptTitle="Guard Column Phase" prompt="Stationary phase chemistry/ligand of the chromatography column, use 'none' if not used." xr:uid="{7F8970B7-B85D-47D0-859B-6F0781B90F1A}">
          <x14:formula1>
            <xm:f>Input_Validation!$P$3:$P$11</xm:f>
          </x14:formula1>
          <xm:sqref>B24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D20"/>
  <sheetViews>
    <sheetView workbookViewId="0">
      <selection activeCell="B4" sqref="B4:B20"/>
    </sheetView>
  </sheetViews>
  <sheetFormatPr defaultRowHeight="15" x14ac:dyDescent="0.25"/>
  <cols>
    <col min="1" max="1" width="34.5703125" bestFit="1" customWidth="1"/>
    <col min="2" max="2" width="38.7109375" style="3" bestFit="1" customWidth="1"/>
    <col min="3" max="3" width="22.28515625" style="3" customWidth="1"/>
    <col min="4" max="4" width="14" bestFit="1" customWidth="1"/>
  </cols>
  <sheetData>
    <row r="1" spans="1:4" ht="18.75" x14ac:dyDescent="0.3">
      <c r="A1" s="2" t="s">
        <v>31</v>
      </c>
    </row>
    <row r="2" spans="1:4" x14ac:dyDescent="0.25">
      <c r="A2" s="1" t="s">
        <v>6</v>
      </c>
    </row>
    <row r="3" spans="1:4" x14ac:dyDescent="0.25">
      <c r="A3" s="1" t="s">
        <v>4</v>
      </c>
      <c r="B3" s="4" t="s">
        <v>3</v>
      </c>
      <c r="C3" s="4"/>
      <c r="D3" s="1" t="s">
        <v>248</v>
      </c>
    </row>
    <row r="4" spans="1:4" x14ac:dyDescent="0.25">
      <c r="A4" t="s">
        <v>32</v>
      </c>
      <c r="B4" s="11"/>
      <c r="D4" t="s">
        <v>150</v>
      </c>
    </row>
    <row r="5" spans="1:4" x14ac:dyDescent="0.25">
      <c r="A5" t="s">
        <v>148</v>
      </c>
      <c r="B5" s="11"/>
      <c r="D5" t="s">
        <v>149</v>
      </c>
    </row>
    <row r="6" spans="1:4" x14ac:dyDescent="0.25">
      <c r="A6" t="s">
        <v>33</v>
      </c>
      <c r="B6" s="11"/>
      <c r="D6" t="s">
        <v>35</v>
      </c>
    </row>
    <row r="7" spans="1:4" x14ac:dyDescent="0.25">
      <c r="A7" t="s">
        <v>36</v>
      </c>
      <c r="B7" s="11"/>
      <c r="D7" t="s">
        <v>38</v>
      </c>
    </row>
    <row r="8" spans="1:4" x14ac:dyDescent="0.25">
      <c r="A8" t="s">
        <v>249</v>
      </c>
      <c r="B8" s="11"/>
      <c r="D8" t="s">
        <v>39</v>
      </c>
    </row>
    <row r="9" spans="1:4" x14ac:dyDescent="0.25">
      <c r="A9" t="s">
        <v>40</v>
      </c>
      <c r="B9" s="11"/>
      <c r="D9" t="s">
        <v>42</v>
      </c>
    </row>
    <row r="10" spans="1:4" x14ac:dyDescent="0.25">
      <c r="A10" t="s">
        <v>43</v>
      </c>
      <c r="B10" s="11"/>
      <c r="D10" t="s">
        <v>45</v>
      </c>
    </row>
    <row r="11" spans="1:4" x14ac:dyDescent="0.25">
      <c r="A11" t="s">
        <v>46</v>
      </c>
      <c r="B11" s="11"/>
      <c r="D11" t="s">
        <v>48</v>
      </c>
    </row>
    <row r="12" spans="1:4" x14ac:dyDescent="0.25">
      <c r="A12" t="s">
        <v>195</v>
      </c>
      <c r="B12" s="11"/>
      <c r="D12" t="s">
        <v>50</v>
      </c>
    </row>
    <row r="13" spans="1:4" x14ac:dyDescent="0.25">
      <c r="A13" t="s">
        <v>250</v>
      </c>
      <c r="B13" s="11"/>
      <c r="D13" t="s">
        <v>51</v>
      </c>
    </row>
    <row r="14" spans="1:4" x14ac:dyDescent="0.25">
      <c r="A14" t="s">
        <v>197</v>
      </c>
      <c r="B14" s="11"/>
      <c r="D14" t="s">
        <v>15</v>
      </c>
    </row>
    <row r="15" spans="1:4" x14ac:dyDescent="0.25">
      <c r="A15" t="s">
        <v>198</v>
      </c>
      <c r="B15" s="11"/>
      <c r="D15" t="s">
        <v>52</v>
      </c>
    </row>
    <row r="16" spans="1:4" x14ac:dyDescent="0.25">
      <c r="A16" t="s">
        <v>67</v>
      </c>
      <c r="B16" s="11"/>
      <c r="D16" t="s">
        <v>68</v>
      </c>
    </row>
    <row r="17" spans="1:4" x14ac:dyDescent="0.25">
      <c r="A17" t="s">
        <v>69</v>
      </c>
      <c r="B17" s="11"/>
      <c r="D17" t="s">
        <v>70</v>
      </c>
    </row>
    <row r="18" spans="1:4" x14ac:dyDescent="0.25">
      <c r="A18" t="s">
        <v>199</v>
      </c>
      <c r="B18" s="11"/>
      <c r="D18" t="s">
        <v>143</v>
      </c>
    </row>
    <row r="19" spans="1:4" x14ac:dyDescent="0.25">
      <c r="A19" t="s">
        <v>144</v>
      </c>
      <c r="B19" s="11"/>
      <c r="D19" t="s">
        <v>146</v>
      </c>
    </row>
    <row r="20" spans="1:4" x14ac:dyDescent="0.25">
      <c r="A20" t="s">
        <v>145</v>
      </c>
      <c r="B20" s="11"/>
      <c r="D20" t="s">
        <v>147</v>
      </c>
    </row>
  </sheetData>
  <sheetProtection sheet="1" objects="1" scenarios="1"/>
  <protectedRanges>
    <protectedRange sqref="B4:B20" name="mass spectrometry"/>
  </protectedRanges>
  <dataValidations count="24">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 type="decimal" allowBlank="1" showInputMessage="1" showErrorMessage="1" promptTitle="Fragmentation Energy Value" prompt="Value of the fragmentation or collision energy used in the collision cell, if ranged/stepped separate values with semicolon (;). Indicate units below." sqref="B13" xr:uid="{B78F7D6E-FE3A-4F13-9EA7-25D8B0BB133D}">
      <formula1>0</formula1>
      <formula2>1000000</formula2>
    </dataValidation>
    <dataValidation type="decimal" allowBlank="1" showInputMessage="1" showErrorMessage="1" promptTitle="Ionization Voltage/Current Value" prompt="Voltage/current applied for ionization, use below cell to indicate units." sqref="B8" xr:uid="{5951695B-972A-4779-9A55-E6458BE1D490}">
      <formula1>0</formula1>
      <formula2>1000000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47ECBEA3-822F-4B73-9A4D-32E62B61BBF0}">
          <x14:formula1>
            <xm:f>Input_Validation!$Q$3:$Q$8</xm:f>
          </x14:formula1>
          <xm:sqref>B4</xm:sqref>
        </x14:dataValidation>
        <x14:dataValidation type="list" allowBlank="1" showInputMessage="1" showErrorMessage="1" promptTitle="Ionization Mode" prompt="Mode of ionization of the mass spectrometer." xr:uid="{7012CBBC-E83E-41F7-A276-FCB7F574F3E3}">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E686BFB0-B819-4038-B9B9-B38CF32A2A80}">
          <x14:formula1>
            <xm:f>Input_Validation!$S$3:$S$4</xm:f>
          </x14:formula1>
          <xm:sqref>B7</xm:sqref>
        </x14:dataValidation>
        <x14:dataValidation type="list" allowBlank="1" showInputMessage="1" showErrorMessage="1" promptTitle="Ionization Voltage/Current Units" prompt="Units for the above-noted ionization voltage or current." xr:uid="{E5F6DADF-2EEA-40D4-96B6-3B1213971550}">
          <x14:formula1>
            <xm:f>Input_Validation!$T$3:$T$7</xm:f>
          </x14:formula1>
          <xm:sqref>B9</xm:sqref>
        </x14:dataValidation>
        <x14:dataValidation type="list" allowBlank="1" showInputMessage="1" showErrorMessage="1" promptTitle="First Mass Analyzer" prompt="First mass analyzer in the mass spectrometer." xr:uid="{6F78B77E-9123-478F-A600-E338A7666D0A}">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A0ED6EDA-3303-48A3-9EF2-DF1E1338D692}">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D2E5997F-A9CD-4813-B52C-C44067ADB3DC}">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4573FA57-E721-4C25-AFAA-7B3092787386}">
          <x14:formula1>
            <xm:f>Input_Validation!$X$3:$X$4</xm:f>
          </x14:formula1>
          <xm:sqref>B14</xm:sqref>
        </x14:dataValidation>
        <x14:dataValidation type="list" allowBlank="1" showInputMessage="1" showErrorMessage="1" promptTitle="Fragmentation Energy Units" prompt="Units of the fragmentation/collision energy value above." xr:uid="{BBB994BB-E18F-4DB3-AD79-95271E01539B}">
          <x14:formula1>
            <xm:f>Input_Validation!$Y$3:$Y$4</xm:f>
          </x14:formula1>
          <xm:sqref>B15</xm:sqref>
        </x14:dataValidation>
        <x14:dataValidation type="list" allowBlank="1" showInputMessage="1" showErrorMessage="1" promptTitle="MS2 Experiment" prompt="Type of fragmentation/MS2 experiment." xr:uid="{FC39B8DB-DA91-4F3F-AB2A-7A494BEC5CEB}">
          <x14:formula1>
            <xm:f>Input_Validation!$Z$3:$Z$6</xm:f>
          </x14:formula1>
          <xm:sqref>B16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D8"/>
  <sheetViews>
    <sheetView workbookViewId="0">
      <selection activeCell="F27" sqref="F27"/>
    </sheetView>
  </sheetViews>
  <sheetFormatPr defaultRowHeight="15" x14ac:dyDescent="0.25"/>
  <cols>
    <col min="1" max="1" width="28" bestFit="1" customWidth="1"/>
    <col min="2" max="2" width="22.28515625" style="3" bestFit="1" customWidth="1"/>
    <col min="3" max="3" width="22.28515625" style="3" customWidth="1"/>
    <col min="4" max="4" width="14.5703125" bestFit="1" customWidth="1"/>
  </cols>
  <sheetData>
    <row r="1" spans="1:4" ht="18.75" x14ac:dyDescent="0.3">
      <c r="A1" s="2" t="s">
        <v>59</v>
      </c>
    </row>
    <row r="2" spans="1:4" x14ac:dyDescent="0.25">
      <c r="A2" s="1" t="s">
        <v>6</v>
      </c>
    </row>
    <row r="3" spans="1:4" x14ac:dyDescent="0.25">
      <c r="A3" s="1" t="s">
        <v>4</v>
      </c>
      <c r="B3" s="4" t="s">
        <v>3</v>
      </c>
      <c r="C3" s="4"/>
      <c r="D3" s="1" t="s">
        <v>248</v>
      </c>
    </row>
    <row r="4" spans="1:4" x14ac:dyDescent="0.25">
      <c r="A4" t="s">
        <v>115</v>
      </c>
      <c r="B4" s="11"/>
      <c r="D4" t="s">
        <v>53</v>
      </c>
    </row>
    <row r="5" spans="1:4" x14ac:dyDescent="0.25">
      <c r="A5" t="s">
        <v>54</v>
      </c>
      <c r="B5" s="11"/>
      <c r="D5" t="s">
        <v>58</v>
      </c>
    </row>
    <row r="6" spans="1:4" x14ac:dyDescent="0.25">
      <c r="A6" t="s">
        <v>55</v>
      </c>
      <c r="B6" s="11"/>
      <c r="D6" t="s">
        <v>58</v>
      </c>
    </row>
    <row r="7" spans="1:4" x14ac:dyDescent="0.25">
      <c r="A7" t="s">
        <v>56</v>
      </c>
      <c r="B7" s="11"/>
      <c r="D7" t="s">
        <v>58</v>
      </c>
    </row>
    <row r="8" spans="1:4" x14ac:dyDescent="0.25">
      <c r="A8" t="s">
        <v>57</v>
      </c>
      <c r="B8" s="11"/>
      <c r="D8" t="s">
        <v>58</v>
      </c>
    </row>
  </sheetData>
  <sheetProtection sheet="1" objects="1" scenarios="1"/>
  <protectedRanges>
    <protectedRange sqref="B4:B8" name="qc method"/>
  </protectedRanges>
  <dataValidations count="5">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s>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C41BBC01-2305-40A5-BFD4-23F1CFC04876}">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58F5D5A3-44F3-4B8B-B34C-C19A6819585E}">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DEA0835D-0894-4E98-8871-398EA0597B26}">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9946E300-EFD3-4B71-B5E0-1F94AA1681CE}">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5A3DA08E-7BF9-4C8D-AFC2-62151558F565}">
          <x14:formula1>
            <xm:f>Input_Validation!$AE$3:$AE$4</xm:f>
          </x14:formula1>
          <xm:sqref>B8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13"/>
  <sheetViews>
    <sheetView workbookViewId="0">
      <selection activeCell="A4" sqref="A4:H13"/>
    </sheetView>
  </sheetViews>
  <sheetFormatPr defaultRowHeight="15" x14ac:dyDescent="0.25"/>
  <cols>
    <col min="1" max="1" width="24" bestFit="1" customWidth="1"/>
    <col min="2" max="2" width="16.85546875" style="10" customWidth="1"/>
    <col min="3" max="3" width="8.85546875" style="10" bestFit="1" customWidth="1"/>
    <col min="4" max="4" width="9" bestFit="1" customWidth="1"/>
    <col min="5" max="5" width="6" bestFit="1" customWidth="1"/>
    <col min="6" max="6" width="16.5703125" bestFit="1" customWidth="1"/>
    <col min="7" max="7" width="14.85546875" bestFit="1" customWidth="1"/>
  </cols>
  <sheetData>
    <row r="1" spans="1:8" ht="18.75" x14ac:dyDescent="0.3">
      <c r="A1" s="2" t="s">
        <v>31</v>
      </c>
    </row>
    <row r="2" spans="1:8" x14ac:dyDescent="0.25">
      <c r="A2" s="1" t="s">
        <v>6</v>
      </c>
    </row>
    <row r="3" spans="1:8" x14ac:dyDescent="0.25">
      <c r="A3" s="5" t="s">
        <v>72</v>
      </c>
      <c r="B3" s="9" t="s">
        <v>200</v>
      </c>
      <c r="C3" s="5" t="s">
        <v>203</v>
      </c>
      <c r="D3" s="5" t="s">
        <v>73</v>
      </c>
      <c r="E3" s="5" t="s">
        <v>74</v>
      </c>
      <c r="F3" s="5" t="s">
        <v>75</v>
      </c>
      <c r="G3" s="5" t="s">
        <v>76</v>
      </c>
      <c r="H3" s="5" t="s">
        <v>214</v>
      </c>
    </row>
    <row r="4" spans="1:8" x14ac:dyDescent="0.25">
      <c r="A4" s="13"/>
      <c r="B4" s="13"/>
      <c r="C4" s="13"/>
      <c r="D4" s="13"/>
      <c r="E4" s="13"/>
      <c r="F4" s="13"/>
      <c r="G4" s="13"/>
      <c r="H4" s="13"/>
    </row>
    <row r="5" spans="1:8" x14ac:dyDescent="0.25">
      <c r="A5" s="13"/>
      <c r="B5" s="13"/>
      <c r="C5" s="13"/>
      <c r="D5" s="13"/>
      <c r="E5" s="13"/>
      <c r="F5" s="13"/>
      <c r="G5" s="13"/>
      <c r="H5" s="13"/>
    </row>
    <row r="6" spans="1:8" x14ac:dyDescent="0.25">
      <c r="A6" s="13"/>
      <c r="B6" s="13"/>
      <c r="C6" s="13"/>
      <c r="D6" s="13"/>
      <c r="E6" s="13"/>
      <c r="F6" s="13"/>
      <c r="G6" s="13"/>
      <c r="H6" s="13"/>
    </row>
    <row r="7" spans="1:8" x14ac:dyDescent="0.25">
      <c r="A7" s="13"/>
      <c r="B7" s="13"/>
      <c r="C7" s="13"/>
      <c r="D7" s="13"/>
      <c r="E7" s="13"/>
      <c r="F7" s="13"/>
      <c r="G7" s="13"/>
      <c r="H7" s="13"/>
    </row>
    <row r="8" spans="1:8" x14ac:dyDescent="0.25">
      <c r="A8" s="13"/>
      <c r="B8" s="13"/>
      <c r="C8" s="13"/>
      <c r="D8" s="13"/>
      <c r="E8" s="13"/>
      <c r="F8" s="13"/>
      <c r="G8" s="13"/>
      <c r="H8" s="13"/>
    </row>
    <row r="9" spans="1:8" x14ac:dyDescent="0.25">
      <c r="A9" s="13"/>
      <c r="B9" s="13"/>
      <c r="C9" s="13"/>
      <c r="D9" s="13"/>
      <c r="E9" s="13"/>
      <c r="F9" s="13"/>
      <c r="G9" s="13"/>
      <c r="H9" s="13"/>
    </row>
    <row r="10" spans="1:8" x14ac:dyDescent="0.25">
      <c r="A10" s="13"/>
      <c r="B10" s="13"/>
      <c r="C10" s="13"/>
      <c r="D10" s="13"/>
      <c r="E10" s="13"/>
      <c r="F10" s="13"/>
      <c r="G10" s="13"/>
      <c r="H10" s="13"/>
    </row>
    <row r="11" spans="1:8" x14ac:dyDescent="0.25">
      <c r="A11" s="13"/>
      <c r="B11" s="13"/>
      <c r="C11" s="13"/>
      <c r="D11" s="13"/>
      <c r="E11" s="13"/>
      <c r="F11" s="13"/>
      <c r="G11" s="13"/>
      <c r="H11" s="13"/>
    </row>
    <row r="12" spans="1:8" x14ac:dyDescent="0.25">
      <c r="A12" s="13"/>
      <c r="B12" s="13"/>
      <c r="C12" s="13"/>
      <c r="D12" s="13"/>
      <c r="E12" s="13"/>
      <c r="F12" s="13"/>
      <c r="G12" s="13"/>
      <c r="H12" s="13"/>
    </row>
    <row r="13" spans="1:8" x14ac:dyDescent="0.25">
      <c r="A13" s="13"/>
      <c r="B13" s="13"/>
      <c r="C13" s="13"/>
      <c r="D13" s="13"/>
      <c r="E13" s="13"/>
      <c r="F13" s="13"/>
      <c r="G13" s="13"/>
      <c r="H13" s="13"/>
    </row>
  </sheetData>
  <sheetProtection sheet="1" objects="1" scenarios="1"/>
  <protectedRanges>
    <protectedRange sqref="A4:H1048576" name="peaks"/>
  </protectedRanges>
  <dataValidations count="9">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parent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Compound Verification" prompt="Was the identity of the compound verified by using a chemical standard and comparing the retention time, precursor ion, and/or fragmentation mass spectra?" sqref="H3" xr:uid="{2A92C2A7-746E-4B6F-9C0F-30F03CC2DAA4}"/>
    <dataValidation type="list" allowBlank="1" showInputMessage="1" showErrorMessage="1" sqref="H4:H1048576" xr:uid="{A7E392E9-875C-4E5F-B259-CC77030F7DDF}">
      <formula1>"true,false"</formula1>
    </dataValidation>
  </dataValidations>
  <hyperlinks>
    <hyperlink ref="B3" r:id="rId1" display="identifier" xr:uid="{EA405BE7-5715-47D3-946C-EB2585244009}"/>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1">
        <x14:dataValidation type="list" allowBlank="1" showInputMessage="1" showErrorMessage="1" xr:uid="{FC0D2C2B-F483-4BFD-A544-6F4549ECE9F7}">
          <x14:formula1>
            <xm:f>Input_Validation!$AF$3:$AF$12</xm:f>
          </x14:formula1>
          <xm:sqref>C4:C1048576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Run</vt:lpstr>
      <vt:lpstr>Input_Validation</vt:lpstr>
      <vt:lpstr>Sample_Input</vt:lpstr>
      <vt:lpstr>Chromatography_Input</vt:lpstr>
      <vt:lpstr>Mass Spectrometry_Input</vt:lpstr>
      <vt:lpstr>QC Method_Input</vt:lpstr>
      <vt:lpstr>Peaks_Input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2021-07-21T16:56:00Z</dcterms:modified>
</cp:coreProperties>
</file>