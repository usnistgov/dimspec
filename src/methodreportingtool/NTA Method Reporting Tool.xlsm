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bjp\Documents\code_repository\R\compound_msdb\example\"/>
    </mc:Choice>
  </mc:AlternateContent>
  <xr:revisionPtr revIDLastSave="0" documentId="13_ncr:1_{8756591E-FEE4-4457-9C46-DFA5CFAE5949}" xr6:coauthVersionLast="45" xr6:coauthVersionMax="45" xr10:uidLastSave="{00000000-0000-0000-0000-000000000000}"/>
  <bookViews>
    <workbookView xWindow="-28920" yWindow="-120" windowWidth="29040" windowHeight="16440" xr2:uid="{90B8E717-CD35-4EBB-A047-3C52215825F8}"/>
  </bookViews>
  <sheets>
    <sheet name="Run" sheetId="10" r:id="rId1"/>
    <sheet name="Sample_Input" sheetId="5" r:id="rId2"/>
    <sheet name="Chromatography_Input" sheetId="1" r:id="rId3"/>
    <sheet name="Mass Spectrometry_Input" sheetId="3" r:id="rId4"/>
    <sheet name="QC Method_Input" sheetId="4" r:id="rId5"/>
    <sheet name="Peaks_Input" sheetId="8" r:id="rId6"/>
    <sheet name="Input_Validation" sheetId="11" state="hidden" r:id="rId7"/>
  </sheets>
  <definedNames>
    <definedName name="_xlnm._FilterDatabase" localSheetId="6" hidden="1">Input_Validation!$D$2:$D$6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 i="10" l="1"/>
  <c r="C7" i="10" l="1"/>
  <c r="C6" i="10" l="1"/>
  <c r="C8" i="10" l="1"/>
  <c r="C5" i="10"/>
</calcChain>
</file>

<file path=xl/sharedStrings.xml><?xml version="1.0" encoding="utf-8"?>
<sst xmlns="http://schemas.openxmlformats.org/spreadsheetml/2006/main" count="286" uniqueCount="226">
  <si>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</si>
  <si>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</si>
  <si>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</si>
  <si>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</si>
  <si>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</si>
  <si>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</si>
  <si>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</si>
  <si>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</si>
  <si>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</si>
  <si>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</si>
  <si>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</si>
  <si>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</si>
  <si>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</si>
  <si>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</si>
  <si>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</si>
  <si>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cetype</t>
  </si>
  <si>
    <t>mp1solvent</t>
  </si>
  <si>
    <t>mp1add</t>
  </si>
  <si>
    <t>mp2add</t>
  </si>
  <si>
    <t>mp3solvent</t>
  </si>
  <si>
    <t>mp3add</t>
  </si>
  <si>
    <t>mp4solvent</t>
  </si>
  <si>
    <t>mp4add</t>
  </si>
  <si>
    <t>colname</t>
  </si>
  <si>
    <t>Column Phase</t>
  </si>
  <si>
    <t>colchemistry</t>
  </si>
  <si>
    <t>colid</t>
  </si>
  <si>
    <t>collen</t>
  </si>
  <si>
    <t>coldp</t>
  </si>
  <si>
    <t>Chromatography Column Vendor</t>
  </si>
  <si>
    <t>Chromatograph Vendor</t>
  </si>
  <si>
    <t>Agilent Technologies</t>
  </si>
  <si>
    <t>cvendor</t>
  </si>
  <si>
    <t>Mass Spectrometry</t>
  </si>
  <si>
    <t>Mass Spectrometer Vendor</t>
  </si>
  <si>
    <t>Ionization Mode</t>
  </si>
  <si>
    <t>electrospray ionization</t>
  </si>
  <si>
    <t>imode</t>
  </si>
  <si>
    <t>Polarity</t>
  </si>
  <si>
    <t>negative</t>
  </si>
  <si>
    <t>polarity</t>
  </si>
  <si>
    <t>Ionization Voltage/Current</t>
  </si>
  <si>
    <t>vvalue</t>
  </si>
  <si>
    <t>Ionization Voltage/Current Units</t>
  </si>
  <si>
    <t>V</t>
  </si>
  <si>
    <t>vunits</t>
  </si>
  <si>
    <t>First Mass Analyzer</t>
  </si>
  <si>
    <t>quadrupole</t>
  </si>
  <si>
    <t>massanalyzer1</t>
  </si>
  <si>
    <t>Second Mass Analyzer</t>
  </si>
  <si>
    <t>orbitrap</t>
  </si>
  <si>
    <t>massanalyzer2</t>
  </si>
  <si>
    <t>HCD</t>
  </si>
  <si>
    <t>fragmode</t>
  </si>
  <si>
    <t>Collision Cell Type</t>
  </si>
  <si>
    <t>cevalue</t>
  </si>
  <si>
    <t>Fragmentation/Collision Energy Type</t>
  </si>
  <si>
    <t>Fragmentation/Collision Energy Units</t>
  </si>
  <si>
    <t>ceunits</t>
  </si>
  <si>
    <t>qcused</t>
  </si>
  <si>
    <t>Mass Analyzer Calibration</t>
  </si>
  <si>
    <t>External Standard Verification</t>
  </si>
  <si>
    <t>Internal Standard Verification</t>
  </si>
  <si>
    <t>Matrix Standard Verification</t>
  </si>
  <si>
    <t>qctype</t>
  </si>
  <si>
    <t>QC Method</t>
  </si>
  <si>
    <t>Sample Information</t>
  </si>
  <si>
    <t>File Name</t>
  </si>
  <si>
    <t>Sample Name</t>
  </si>
  <si>
    <t>filename</t>
  </si>
  <si>
    <t>description</t>
  </si>
  <si>
    <t>Sample Class</t>
  </si>
  <si>
    <t>class</t>
  </si>
  <si>
    <t>MS2 Experiment</t>
  </si>
  <si>
    <t>ms2exp</t>
  </si>
  <si>
    <t>Isolation Width/Window (Da)</t>
  </si>
  <si>
    <t>isowidth</t>
  </si>
  <si>
    <t>submitter</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</si>
  <si>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</si>
  <si>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</si>
  <si>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</si>
  <si>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</si>
  <si>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</si>
  <si>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</si>
  <si>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</si>
  <si>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</si>
  <si>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</si>
  <si>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</si>
  <si>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</si>
  <si>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</si>
  <si>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</si>
  <si>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</si>
  <si>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</si>
  <si>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</si>
  <si>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</si>
  <si>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</si>
  <si>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</si>
  <si>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</si>
  <si>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</si>
  <si>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</si>
  <si>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</si>
  <si>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Solvents</t>
  </si>
  <si>
    <t>Additives</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</si>
  <si>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</si>
  <si>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</si>
  <si>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</si>
  <si>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</si>
  <si>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</si>
  <si>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</si>
  <si>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</si>
  <si>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</si>
  <si>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</si>
  <si>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</si>
  <si>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</si>
  <si>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</si>
  <si>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</si>
  <si>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</si>
  <si>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</si>
  <si>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</si>
  <si>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</si>
  <si>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</si>
  <si>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</si>
  <si>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</si>
  <si>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</si>
  <si>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</si>
  <si>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atmospheric pressure chemical ionization</t>
  </si>
  <si>
    <t>atmospheric pressure photoionization</t>
  </si>
  <si>
    <t>chemical ionization</t>
  </si>
  <si>
    <t>electron ionization</t>
  </si>
  <si>
    <t>positive</t>
  </si>
  <si>
    <t>kV</t>
  </si>
  <si>
    <t>A</t>
  </si>
  <si>
    <t>μA</t>
  </si>
  <si>
    <t>eV</t>
  </si>
  <si>
    <t>Mass Analyzers</t>
  </si>
  <si>
    <t>linear ion-trap</t>
  </si>
  <si>
    <t>magnetic sector</t>
  </si>
  <si>
    <t>time-of-flight</t>
  </si>
  <si>
    <t>CID</t>
  </si>
  <si>
    <t>ECD</t>
  </si>
  <si>
    <t>DDA</t>
  </si>
  <si>
    <t>DIA</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</si>
  <si>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</si>
  <si>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</si>
  <si>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</si>
  <si>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</si>
  <si>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</si>
  <si>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</si>
  <si>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</si>
  <si>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</si>
  <si>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</si>
  <si>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</si>
  <si>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</si>
  <si>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</si>
  <si>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</si>
  <si>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</si>
  <si>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</si>
  <si>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</si>
  <si>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</si>
  <si>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</si>
  <si>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XML Parameter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</si>
  <si>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</si>
  <si>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</si>
  <si>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</si>
  <si>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</si>
  <si>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</si>
  <si>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</si>
  <si>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</si>
  <si>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</si>
  <si>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</si>
  <si>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</si>
  <si>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</si>
  <si>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</si>
  <si>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</si>
  <si>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</si>
  <si>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</si>
  <si>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</si>
  <si>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</si>
  <si>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</si>
  <si>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</si>
  <si>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</si>
  <si>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silica (no ligands)</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</si>
  <si>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</si>
  <si>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</si>
  <si>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</si>
  <si>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</si>
  <si>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</si>
  <si>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</si>
  <si>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</si>
  <si>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</si>
  <si>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</si>
  <si>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</si>
  <si>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</si>
  <si>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</si>
  <si>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</si>
  <si>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</si>
  <si>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</si>
  <si>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</si>
  <si>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</si>
  <si>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</si>
  <si>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</si>
  <si>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</si>
  <si>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</si>
  <si>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</si>
  <si>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</si>
  <si>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</si>
  <si>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</si>
  <si>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</si>
  <si>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t>
  </si>
  <si>
    <t>Fragmentation Energy Units</t>
  </si>
  <si>
    <t>Instrument Mass Accuracy (ppm)</t>
  </si>
  <si>
    <t>Suspect List ID</t>
  </si>
  <si>
    <t>fourier transform ion cyclotron resonance</t>
  </si>
  <si>
    <t>Submitted by</t>
  </si>
  <si>
    <t>Ion State</t>
  </si>
  <si>
    <t>[M+H]+</t>
  </si>
  <si>
    <t>[M]+</t>
  </si>
  <si>
    <t>[M+Na]+</t>
  </si>
  <si>
    <t>[M+K]+</t>
  </si>
  <si>
    <t>[M+NH4]+</t>
  </si>
  <si>
    <t>[M-H2O+H]+</t>
  </si>
  <si>
    <t>[M]-</t>
  </si>
  <si>
    <t>[M-FCO2H]-</t>
  </si>
  <si>
    <t>[2M-H]-</t>
  </si>
  <si>
    <t>[M-H]-</t>
  </si>
  <si>
    <t>Verified?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</si>
</sst>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sz val="11"/>
      <color theme="1"/>
      <name val="Calibri"/>
      <family val="2"/>
    </font>
    <font>
      <b/>
      <sz val="16"/>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4">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0" applyFont="1"/>
    <xf numFmtId="0" fontId="6" fillId="0" borderId="0" xfId="1"/>
    <xf numFmtId="0" fontId="6" fillId="0" borderId="0" xfId="1" applyAlignment="1">
      <alignment horizontal="center"/>
    </xf>
    <xf numFmtId="0" fontId="0" fillId="0" borderId="0" xfId="0" applyAlignment="1">
      <alignment horizontal="center"/>
    </xf>
    <xf numFmtId="0" fontId="0" fillId="0" borderId="0" xfId="0" applyAlignment="1" applyProtection="1">
      <alignment horizontal="left"/>
    </xf>
    <xf numFmtId="0" fontId="6" fillId="0" borderId="0" xfId="1" applyAlignment="1" applyProtection="1">
      <alignment horizontal="left"/>
    </xf>
    <xf numFmtId="0" fontId="0" fillId="0" borderId="0" xfId="0" applyProtection="1"/>
  </cellXfs>
  <cellStyles count="2">
    <cellStyle name="Hyperlink" xfId="1" builtinId="8"/>
    <cellStyle name="Normal" xfId="0" builtinId="0"/>
  </cellStyles>
  <dxfs count="6">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Method XML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data.nist.gov/od/id/mds2-2387"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18"/>
  <sheetViews>
    <sheetView tabSelected="1" workbookViewId="0">
      <selection activeCell="G8" sqref="G8"/>
    </sheetView>
  </sheetViews>
  <sheetFormatPr defaultRowHeight="15" x14ac:dyDescent="0.25"/>
  <cols>
    <col min="2" max="2" width="30.140625" customWidth="1"/>
  </cols>
  <sheetData>
    <row r="1" spans="1:3" ht="21" x14ac:dyDescent="0.35">
      <c r="A1" s="7" t="s">
        <v>124</v>
      </c>
    </row>
    <row r="3" spans="1:3" x14ac:dyDescent="0.25">
      <c r="A3" s="1" t="s">
        <v>114</v>
      </c>
    </row>
    <row r="4" spans="1:3" x14ac:dyDescent="0.25">
      <c r="B4" s="1" t="s">
        <v>120</v>
      </c>
      <c r="C4" s="1" t="s">
        <v>121</v>
      </c>
    </row>
    <row r="5" spans="1:3" x14ac:dyDescent="0.25">
      <c r="B5" s="8" t="s">
        <v>115</v>
      </c>
      <c r="C5" t="b">
        <f>IF(COUNTA(Sample_Input!B4:B7)=4, TRUE, FALSE)</f>
        <v>0</v>
      </c>
    </row>
    <row r="6" spans="1:3" x14ac:dyDescent="0.25">
      <c r="B6" s="8" t="s">
        <v>116</v>
      </c>
      <c r="C6" t="b">
        <f>IF(COUNTA(Chromatography_Input!B4:B27)=20,TRUE,FALSE)</f>
        <v>0</v>
      </c>
    </row>
    <row r="7" spans="1:3" x14ac:dyDescent="0.25">
      <c r="B7" s="8" t="s">
        <v>117</v>
      </c>
      <c r="C7" t="b">
        <f>IF(COUNTA('Mass Spectrometry_Input'!B4:B20)&gt;13, TRUE, FALSE)</f>
        <v>0</v>
      </c>
    </row>
    <row r="8" spans="1:3" x14ac:dyDescent="0.25">
      <c r="B8" s="8" t="s">
        <v>118</v>
      </c>
      <c r="C8" t="b">
        <f>IF(COUNTA('QC Method_Input'!B4:B8)=5, TRUE, FALSE)</f>
        <v>0</v>
      </c>
    </row>
    <row r="9" spans="1:3" x14ac:dyDescent="0.25">
      <c r="B9" s="8" t="s">
        <v>119</v>
      </c>
      <c r="C9" t="b">
        <f>IF(COUNTA(Peaks_Input!A4:G1048576) = 0, FALSE, IF(COUNTA(Peaks_Input!A4:G1048576)/7 = COUNTA(Peaks_Input!A4:A1048576),TRUE,FALSE))</f>
        <v>0</v>
      </c>
    </row>
    <row r="11" spans="1:3" x14ac:dyDescent="0.25">
      <c r="A11" s="1" t="s">
        <v>147</v>
      </c>
    </row>
    <row r="12" spans="1:3" x14ac:dyDescent="0.25">
      <c r="B12" t="s">
        <v>149</v>
      </c>
      <c r="C12" t="b">
        <v>0</v>
      </c>
    </row>
    <row r="14" spans="1:3" x14ac:dyDescent="0.25">
      <c r="A14" s="1" t="s">
        <v>146</v>
      </c>
    </row>
    <row r="17" spans="1:2" x14ac:dyDescent="0.25">
      <c r="A17" s="1" t="s">
        <v>148</v>
      </c>
    </row>
    <row r="18" spans="1:2" x14ac:dyDescent="0.25">
      <c r="B18" t="s">
        <v>122</v>
      </c>
    </row>
  </sheetData>
  <sheetProtection sheet="1" objects="1" scenarios="1"/>
  <protectedRanges>
    <protectedRange sqref="C12" name="tables"/>
  </protectedRanges>
  <conditionalFormatting sqref="C5">
    <cfRule type="cellIs" dxfId="5" priority="5" operator="equal">
      <formula>FALSE</formula>
    </cfRule>
    <cfRule type="containsText" dxfId="4" priority="11" operator="containsText" text="TRUE">
      <formula>NOT(ISERROR(SEARCH("TRUE",C5)))</formula>
    </cfRule>
  </conditionalFormatting>
  <conditionalFormatting sqref="C6:C9">
    <cfRule type="cellIs" dxfId="3" priority="3" operator="equal">
      <formula>FALSE</formula>
    </cfRule>
    <cfRule type="containsText" dxfId="2" priority="4" operator="containsText" text="TRUE">
      <formula>NOT(ISERROR(SEARCH("TRUE",C6)))</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XML">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D7"/>
  <sheetViews>
    <sheetView workbookViewId="0">
      <selection activeCell="B4" sqref="B4:B7"/>
    </sheetView>
  </sheetViews>
  <sheetFormatPr defaultRowHeight="15" x14ac:dyDescent="0.25"/>
  <cols>
    <col min="1" max="1" width="22.85546875" bestFit="1" customWidth="1"/>
    <col min="2" max="2" width="25.85546875" style="3" bestFit="1" customWidth="1"/>
    <col min="3" max="3" width="23.85546875" style="3" customWidth="1"/>
    <col min="4" max="4" width="12.28515625" bestFit="1" customWidth="1"/>
  </cols>
  <sheetData>
    <row r="1" spans="1:4" ht="18.75" x14ac:dyDescent="0.3">
      <c r="A1" s="2" t="s">
        <v>66</v>
      </c>
    </row>
    <row r="2" spans="1:4" x14ac:dyDescent="0.25">
      <c r="A2" s="1" t="s">
        <v>6</v>
      </c>
    </row>
    <row r="3" spans="1:4" x14ac:dyDescent="0.25">
      <c r="A3" s="1" t="s">
        <v>4</v>
      </c>
      <c r="B3" s="4" t="s">
        <v>3</v>
      </c>
      <c r="C3" s="4"/>
      <c r="D3" s="1" t="s">
        <v>160</v>
      </c>
    </row>
    <row r="4" spans="1:4" x14ac:dyDescent="0.25">
      <c r="A4" t="s">
        <v>67</v>
      </c>
      <c r="B4" s="11"/>
      <c r="D4" t="s">
        <v>69</v>
      </c>
    </row>
    <row r="5" spans="1:4" x14ac:dyDescent="0.25">
      <c r="A5" t="s">
        <v>68</v>
      </c>
      <c r="B5" s="11"/>
      <c r="D5" t="s">
        <v>70</v>
      </c>
    </row>
    <row r="6" spans="1:4" x14ac:dyDescent="0.25">
      <c r="A6" t="s">
        <v>71</v>
      </c>
      <c r="B6" s="11"/>
      <c r="D6" t="s">
        <v>72</v>
      </c>
    </row>
    <row r="7" spans="1:4" x14ac:dyDescent="0.25">
      <c r="A7" t="s">
        <v>213</v>
      </c>
      <c r="B7" s="12"/>
      <c r="D7" t="s">
        <v>77</v>
      </c>
    </row>
  </sheetData>
  <sheetProtection sheet="1" objects="1" scenarios="1"/>
  <protectedRanges>
    <protectedRange sqref="B4:B7" name="sample"/>
  </protectedRanges>
  <dataValidations count="7">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sqref="B4" xr:uid="{4B1BDAF7-63A2-4648-B455-63E26C5E9DD5}"/>
    <dataValidation allowBlank="1" showInputMessage="1" showErrorMessage="1" promptTitle="Sample name" prompt="User description of the sample, no restrictions on input." sqref="B5" xr:uid="{074476FB-D785-41DB-B232-D3EA1F15A451}"/>
    <dataValidation allowBlank="1" showInputMessage="1" showErrorMessage="1" promptTitle="Submitter By" prompt="Unique identifier for user and/or laboratory that submits the data. Typically user email." sqref="B7" xr:uid="{12BC8847-2E6D-4EE8-9F04-98692FD1CB4C}"/>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A4E15227-017E-442D-AB79-07703094E1C1}">
          <x14:formula1>
            <xm:f>Input_Validation!$A$2:$A$15</xm:f>
          </x14:formula1>
          <xm:sqref>B6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7"/>
  <sheetViews>
    <sheetView workbookViewId="0">
      <selection activeCell="B4" sqref="B4:B27"/>
    </sheetView>
  </sheetViews>
  <sheetFormatPr defaultRowHeight="15" x14ac:dyDescent="0.25"/>
  <cols>
    <col min="1" max="1" width="47.85546875" bestFit="1" customWidth="1"/>
    <col min="2" max="2" width="23" style="3" customWidth="1"/>
    <col min="3" max="3" width="22.28515625" style="3" customWidth="1"/>
    <col min="4" max="4" width="14.7109375" bestFit="1" customWidth="1"/>
  </cols>
  <sheetData>
    <row r="1" spans="1:6" ht="18.75" x14ac:dyDescent="0.3">
      <c r="A1" s="2" t="s">
        <v>0</v>
      </c>
    </row>
    <row r="2" spans="1:6" x14ac:dyDescent="0.25">
      <c r="A2" s="1" t="s">
        <v>6</v>
      </c>
    </row>
    <row r="3" spans="1:6" x14ac:dyDescent="0.25">
      <c r="A3" s="1" t="s">
        <v>4</v>
      </c>
      <c r="B3" s="4" t="s">
        <v>3</v>
      </c>
      <c r="C3" s="4"/>
      <c r="D3" s="1" t="s">
        <v>160</v>
      </c>
    </row>
    <row r="4" spans="1:6" x14ac:dyDescent="0.25">
      <c r="A4" t="s">
        <v>5</v>
      </c>
      <c r="B4" s="11"/>
      <c r="D4" t="s">
        <v>163</v>
      </c>
    </row>
    <row r="5" spans="1:6" x14ac:dyDescent="0.25">
      <c r="A5" t="s">
        <v>30</v>
      </c>
      <c r="B5" s="11"/>
      <c r="D5" t="s">
        <v>32</v>
      </c>
    </row>
    <row r="6" spans="1:6" x14ac:dyDescent="0.25">
      <c r="A6" t="s">
        <v>161</v>
      </c>
      <c r="B6" s="11"/>
      <c r="D6" t="s">
        <v>162</v>
      </c>
    </row>
    <row r="7" spans="1:6" x14ac:dyDescent="0.25">
      <c r="A7" t="s">
        <v>150</v>
      </c>
      <c r="B7" s="11"/>
      <c r="D7" t="s">
        <v>151</v>
      </c>
    </row>
    <row r="8" spans="1:6" x14ac:dyDescent="0.25">
      <c r="A8" t="s">
        <v>1</v>
      </c>
      <c r="B8" s="11"/>
      <c r="D8" t="s">
        <v>16</v>
      </c>
    </row>
    <row r="9" spans="1:6" x14ac:dyDescent="0.25">
      <c r="A9" t="s">
        <v>2</v>
      </c>
      <c r="B9" s="11"/>
      <c r="D9" t="s">
        <v>17</v>
      </c>
    </row>
    <row r="10" spans="1:6" x14ac:dyDescent="0.25">
      <c r="A10" t="s">
        <v>8</v>
      </c>
      <c r="B10" s="11"/>
      <c r="D10" t="s">
        <v>164</v>
      </c>
    </row>
    <row r="11" spans="1:6" x14ac:dyDescent="0.25">
      <c r="A11" t="s">
        <v>9</v>
      </c>
      <c r="B11" s="11"/>
      <c r="D11" t="s">
        <v>18</v>
      </c>
      <c r="F11" s="6"/>
    </row>
    <row r="12" spans="1:6" x14ac:dyDescent="0.25">
      <c r="A12" t="s">
        <v>10</v>
      </c>
      <c r="B12" s="11"/>
      <c r="D12" t="s">
        <v>19</v>
      </c>
    </row>
    <row r="13" spans="1:6" x14ac:dyDescent="0.25">
      <c r="A13" t="s">
        <v>11</v>
      </c>
      <c r="B13" s="11"/>
      <c r="D13" t="s">
        <v>20</v>
      </c>
    </row>
    <row r="14" spans="1:6" x14ac:dyDescent="0.25">
      <c r="A14" t="s">
        <v>12</v>
      </c>
      <c r="B14" s="11"/>
      <c r="D14" t="s">
        <v>21</v>
      </c>
    </row>
    <row r="15" spans="1:6" x14ac:dyDescent="0.25">
      <c r="A15" t="s">
        <v>13</v>
      </c>
      <c r="B15" s="11"/>
      <c r="D15" t="s">
        <v>22</v>
      </c>
    </row>
    <row r="16" spans="1:6" x14ac:dyDescent="0.25">
      <c r="A16" t="s">
        <v>198</v>
      </c>
      <c r="B16" s="11"/>
      <c r="D16" t="s">
        <v>167</v>
      </c>
    </row>
    <row r="17" spans="1:4" x14ac:dyDescent="0.25">
      <c r="A17" t="s">
        <v>204</v>
      </c>
      <c r="B17" s="11"/>
      <c r="D17" t="s">
        <v>23</v>
      </c>
    </row>
    <row r="18" spans="1:4" x14ac:dyDescent="0.25">
      <c r="A18" t="s">
        <v>199</v>
      </c>
      <c r="B18" s="11"/>
      <c r="D18" t="s">
        <v>25</v>
      </c>
    </row>
    <row r="19" spans="1:4" x14ac:dyDescent="0.25">
      <c r="A19" t="s">
        <v>200</v>
      </c>
      <c r="B19" s="11"/>
      <c r="D19" t="s">
        <v>26</v>
      </c>
    </row>
    <row r="20" spans="1:4" x14ac:dyDescent="0.25">
      <c r="A20" t="s">
        <v>201</v>
      </c>
      <c r="B20" s="11"/>
      <c r="D20" t="s">
        <v>27</v>
      </c>
    </row>
    <row r="21" spans="1:4" x14ac:dyDescent="0.25">
      <c r="A21" t="s">
        <v>202</v>
      </c>
      <c r="B21" s="11"/>
      <c r="D21" t="s">
        <v>28</v>
      </c>
    </row>
    <row r="22" spans="1:4" x14ac:dyDescent="0.25">
      <c r="A22" t="s">
        <v>165</v>
      </c>
      <c r="D22" t="s">
        <v>166</v>
      </c>
    </row>
    <row r="23" spans="1:4" x14ac:dyDescent="0.25">
      <c r="A23" t="s">
        <v>203</v>
      </c>
      <c r="D23" t="s">
        <v>170</v>
      </c>
    </row>
    <row r="24" spans="1:4" x14ac:dyDescent="0.25">
      <c r="A24" t="s">
        <v>168</v>
      </c>
      <c r="D24" t="s">
        <v>169</v>
      </c>
    </row>
    <row r="25" spans="1:4" x14ac:dyDescent="0.25">
      <c r="A25" t="s">
        <v>191</v>
      </c>
      <c r="D25" t="s">
        <v>194</v>
      </c>
    </row>
    <row r="26" spans="1:4" x14ac:dyDescent="0.25">
      <c r="A26" t="s">
        <v>192</v>
      </c>
      <c r="D26" t="s">
        <v>195</v>
      </c>
    </row>
    <row r="27" spans="1:4" x14ac:dyDescent="0.25">
      <c r="A27" t="s">
        <v>193</v>
      </c>
      <c r="D27" t="s">
        <v>196</v>
      </c>
    </row>
  </sheetData>
  <sheetProtection sheet="1" objects="1" scenarios="1"/>
  <protectedRanges>
    <protectedRange sqref="B4:B27" name="chromatography"/>
  </protectedRanges>
  <dataValidations count="27">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 xr:uid="{AD1A6E9A-9935-4225-BF2B-8DC9BF9171F5}"/>
    <dataValidation allowBlank="1" showErrorMessage="1" promptTitle="Chromatography Column Vendor" sqref="A16" xr:uid="{09015A4C-A8B3-4325-AE84-70762CABAFD2}"/>
    <dataValidation allowBlank="1" showErrorMessage="1" promptTitle="Name of Chromatography Column" sqref="A17" xr:uid="{D8FEE04C-0AC4-42FF-B7CE-A8EE838E5966}"/>
    <dataValidation allowBlank="1" showErrorMessage="1" promptTitle="Column phase" sqref="A18" xr:uid="{46321A32-1616-4D08-A185-2687955DC0DA}"/>
    <dataValidation allowBlank="1" showErrorMessage="1" promptTitle="Column Inner Diameter" sqref="A19" xr:uid="{6172C91F-25E6-4960-98C9-84AE9AA491AB}"/>
    <dataValidation allowBlank="1" showInputMessage="1" showErrorMessage="1" promptTitle="Column Length" sqref="A20" xr:uid="{5057E367-42B7-4882-AC35-2181FF17E8B7}"/>
    <dataValidation allowBlank="1" showErrorMessage="1" promptTitle="Particle Diameter/Film Thickness" prompt="." sqref="A21"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19"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0"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1"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17"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7"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23"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25"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6" xr:uid="{A556613B-B223-4F39-9307-76B27D7A8D1A}">
      <formula1>0</formula1>
      <formula2>500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5">
        <x14:dataValidation type="list" showInputMessage="1" showErrorMessage="1" promptTitle="Chromatography Type" prompt="Type of Chromatography used for method." xr:uid="{9311FB33-49DB-44BD-A094-E7622D07CDC9}">
          <x14:formula1>
            <xm:f>Input_Validation!$B$2:$B$5</xm:f>
          </x14:formula1>
          <xm:sqref>B4</xm:sqref>
        </x14:dataValidation>
        <x14:dataValidation type="list" allowBlank="1" showInputMessage="1" showErrorMessage="1" promptTitle="Vendor" prompt="Vendor/Manufacturer of the chromatograph used" xr:uid="{29D12A2E-DA82-4046-9B22-148D237AE686}">
          <x14:formula1>
            <xm:f>Input_Validation!$C$2:$C$8</xm:f>
          </x14:formula1>
          <xm:sqref>B5</xm:sqref>
        </x14:dataValidation>
        <x14:dataValidation type="list" allowBlank="1" showInputMessage="1" showErrorMessage="1" promptTitle="Mobile Phase 4 Solvent" prompt="The primary solvent component (&gt;= 50 %)of the chromatography mobile phase 4 (mobile phase D). Use 'none' if using GC or no chromatography." xr:uid="{6AE99EE7-85EF-48FD-A728-AEAB7AD4977A}">
          <x14:formula1>
            <xm:f>Input_Validation!$D$2:$D$10</xm:f>
          </x14:formula1>
          <xm:sqref>B14</xm:sqref>
        </x14:dataValidation>
        <x14:dataValidation type="list" allowBlank="1" showInputMessage="1" showErrorMessage="1" promptTitle="Mobile Phase 4 Additive" prompt="The primary buffer/acid/base additive used in mobile phase 4 (mobile phase D)" xr:uid="{B7D6AF27-8908-4CF2-8047-402C9F9C2657}">
          <x14:formula1>
            <xm:f>Input_Validation!$E$2:$E$8</xm:f>
          </x14:formula1>
          <xm:sqref>B15</xm:sqref>
        </x14:dataValidation>
        <x14:dataValidation type="list" allowBlank="1" showInputMessage="1" showErrorMessage="1" promptTitle="Analytical Column Vendor" prompt="Vendor/Manufacturer of the analytical column" xr:uid="{431EC0AB-86BC-478F-98A2-3E3D6276A257}">
          <x14:formula1>
            <xm:f>Input_Validation!$F$2:$F$9</xm:f>
          </x14:formula1>
          <xm:sqref>B16</xm:sqref>
        </x14:dataValidation>
        <x14:dataValidation type="list" allowBlank="1" showInputMessage="1" showErrorMessage="1" promptTitle="Column Phase" prompt="Stationary phase chemistry/ligand of the chromatography column" xr:uid="{80A6C499-54C2-48AD-A17B-4683DD0D6C80}">
          <x14:formula1>
            <xm:f>Input_Validation!$G$2:$G$10</xm:f>
          </x14:formula1>
          <xm:sqref>B18</xm:sqref>
        </x14:dataValidation>
        <x14:dataValidation type="list" allowBlank="1" showInputMessage="1" showErrorMessage="1" promptTitle="Sample Solvent" prompt="Primary solvent consistuent of the sample, as injected." xr:uid="{92920B20-62E2-48A1-A5CA-97AF65EB0D87}">
          <x14:formula1>
            <xm:f>Input_Validation!$D$2:$D$10</xm:f>
          </x14:formula1>
          <xm:sqref>B7</xm:sqref>
        </x14:dataValidation>
        <x14:dataValidation type="list" allowBlank="1" showInputMessage="1" showErrorMessage="1" promptTitle="Mobile Phase 1 Solvent" prompt="The primary solvent component (&gt;= 50 %)of the chromatography mobile phase 1 (mobile phase A). Use 'none' if using GC or no chromatography." xr:uid="{1175741F-071A-4C89-B80A-7B34A57C94C6}">
          <x14:formula1>
            <xm:f>Input_Validation!$D$2:$D$10</xm:f>
          </x14:formula1>
          <xm:sqref>B8</xm:sqref>
        </x14:dataValidation>
        <x14:dataValidation type="list" allowBlank="1" showInputMessage="1" showErrorMessage="1" promptTitle="Mobile Phase 1 Additive" prompt="The primary buffer/acid/base additive used in mobile phase 1 (mobile phase A)" xr:uid="{D1C1479A-1363-4DCB-8DDE-36CE13FED69D}">
          <x14:formula1>
            <xm:f>Input_Validation!$E$2:$E$8</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2A602AF6-DE91-4BC8-89D5-0C28B0BF3853}">
          <x14:formula1>
            <xm:f>Input_Validation!$D$2:$D$10</xm:f>
          </x14:formula1>
          <xm:sqref>B10</xm:sqref>
        </x14:dataValidation>
        <x14:dataValidation type="list" allowBlank="1" showInputMessage="1" showErrorMessage="1" promptTitle="Mobile Phase 3 Solvent" prompt="The primary solvent component (&gt;= 50 %)of the chromatography mobile phase 3 (mobile phase C). Use 'none' if using GC or no chromatography." xr:uid="{D5020F13-014F-4448-90B2-14EF94E985F6}">
          <x14:formula1>
            <xm:f>Input_Validation!$D$2:$D$10</xm:f>
          </x14:formula1>
          <xm:sqref>B12</xm:sqref>
        </x14:dataValidation>
        <x14:dataValidation type="list" allowBlank="1" showInputMessage="1" showErrorMessage="1" promptTitle="Mobile Phase 3 Additive" prompt="The primary buffer/acid/base additive used in mobile phase 3 (mobile phase C)" xr:uid="{6D5DCCC1-7A3F-4F9F-A542-5C2477B786CC}">
          <x14:formula1>
            <xm:f>Input_Validation!$E$2:$E$8</xm:f>
          </x14:formula1>
          <xm:sqref>B13</xm:sqref>
        </x14:dataValidation>
        <x14:dataValidation type="list" allowBlank="1" showInputMessage="1" showErrorMessage="1" promptTitle="Guard Column Vendor" prompt="Vendor/Manufacturer of the guard column, use &quot;none&quot; if not used." xr:uid="{B40DD21D-3E11-48F4-92D5-A84FD64CFC4F}">
          <x14:formula1>
            <xm:f>Input_Validation!$H$2:$H$10</xm:f>
          </x14:formula1>
          <xm:sqref>B22</xm:sqref>
        </x14:dataValidation>
        <x14:dataValidation type="list" allowBlank="1" showInputMessage="1" showErrorMessage="1" promptTitle="Column Phase" prompt="Stationary phase chemistry/ligand of the chromatography column, use 'none' if not used." xr:uid="{0501D552-90E0-4EB4-B750-7CCA8BFA05F1}">
          <x14:formula1>
            <xm:f>Input_Validation!$I$2:$I$10</xm:f>
          </x14:formula1>
          <xm:sqref>B24</xm:sqref>
        </x14:dataValidation>
        <x14:dataValidation type="list" allowBlank="1" showInputMessage="1" showErrorMessage="1" promptTitle="Mobile Phase 2 Additive" prompt="The primary buffer/acid/base additive used in mobile phase 2 (mobile phase B)" xr:uid="{321EAF13-642D-4895-AB23-FA3F33720C3A}">
          <x14:formula1>
            <xm:f>Input_Validation!$E$2:$E$1048576</xm:f>
          </x14:formula1>
          <xm:sqref>B11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D20"/>
  <sheetViews>
    <sheetView workbookViewId="0">
      <selection activeCell="B4" sqref="B4:B20"/>
    </sheetView>
  </sheetViews>
  <sheetFormatPr defaultRowHeight="15" x14ac:dyDescent="0.25"/>
  <cols>
    <col min="1" max="1" width="34.5703125" bestFit="1" customWidth="1"/>
    <col min="2" max="2" width="38.7109375" style="3" bestFit="1" customWidth="1"/>
    <col min="3" max="3" width="22.28515625" style="3" customWidth="1"/>
    <col min="4" max="4" width="14" bestFit="1" customWidth="1"/>
  </cols>
  <sheetData>
    <row r="1" spans="1:4" ht="18.75" x14ac:dyDescent="0.3">
      <c r="A1" s="2" t="s">
        <v>33</v>
      </c>
    </row>
    <row r="2" spans="1:4" x14ac:dyDescent="0.25">
      <c r="A2" s="1" t="s">
        <v>6</v>
      </c>
    </row>
    <row r="3" spans="1:4" x14ac:dyDescent="0.25">
      <c r="A3" s="1" t="s">
        <v>4</v>
      </c>
      <c r="B3" s="4" t="s">
        <v>3</v>
      </c>
      <c r="C3" s="4"/>
      <c r="D3" s="1" t="s">
        <v>160</v>
      </c>
    </row>
    <row r="4" spans="1:4" x14ac:dyDescent="0.25">
      <c r="A4" t="s">
        <v>34</v>
      </c>
      <c r="B4" s="11"/>
      <c r="D4" t="s">
        <v>159</v>
      </c>
    </row>
    <row r="5" spans="1:4" x14ac:dyDescent="0.25">
      <c r="A5" t="s">
        <v>157</v>
      </c>
      <c r="B5" s="11"/>
      <c r="D5" t="s">
        <v>158</v>
      </c>
    </row>
    <row r="6" spans="1:4" x14ac:dyDescent="0.25">
      <c r="A6" t="s">
        <v>35</v>
      </c>
      <c r="B6" s="11"/>
      <c r="D6" t="s">
        <v>37</v>
      </c>
    </row>
    <row r="7" spans="1:4" x14ac:dyDescent="0.25">
      <c r="A7" t="s">
        <v>38</v>
      </c>
      <c r="B7" s="11"/>
      <c r="D7" t="s">
        <v>40</v>
      </c>
    </row>
    <row r="8" spans="1:4" x14ac:dyDescent="0.25">
      <c r="A8" t="s">
        <v>41</v>
      </c>
      <c r="B8" s="11"/>
      <c r="D8" t="s">
        <v>42</v>
      </c>
    </row>
    <row r="9" spans="1:4" x14ac:dyDescent="0.25">
      <c r="A9" t="s">
        <v>43</v>
      </c>
      <c r="B9" s="11"/>
      <c r="D9" t="s">
        <v>45</v>
      </c>
    </row>
    <row r="10" spans="1:4" x14ac:dyDescent="0.25">
      <c r="A10" t="s">
        <v>46</v>
      </c>
      <c r="B10" s="11"/>
      <c r="D10" t="s">
        <v>48</v>
      </c>
    </row>
    <row r="11" spans="1:4" x14ac:dyDescent="0.25">
      <c r="A11" t="s">
        <v>49</v>
      </c>
      <c r="B11" s="11"/>
      <c r="D11" t="s">
        <v>51</v>
      </c>
    </row>
    <row r="12" spans="1:4" x14ac:dyDescent="0.25">
      <c r="A12" t="s">
        <v>205</v>
      </c>
      <c r="B12" s="11"/>
      <c r="D12" t="s">
        <v>53</v>
      </c>
    </row>
    <row r="13" spans="1:4" x14ac:dyDescent="0.25">
      <c r="A13" t="s">
        <v>208</v>
      </c>
      <c r="B13" s="11"/>
      <c r="D13" t="s">
        <v>55</v>
      </c>
    </row>
    <row r="14" spans="1:4" x14ac:dyDescent="0.25">
      <c r="A14" t="s">
        <v>207</v>
      </c>
      <c r="B14" s="11"/>
      <c r="D14" t="s">
        <v>15</v>
      </c>
    </row>
    <row r="15" spans="1:4" x14ac:dyDescent="0.25">
      <c r="A15" t="s">
        <v>209</v>
      </c>
      <c r="B15" s="11"/>
      <c r="D15" t="s">
        <v>58</v>
      </c>
    </row>
    <row r="16" spans="1:4" x14ac:dyDescent="0.25">
      <c r="A16" t="s">
        <v>73</v>
      </c>
      <c r="B16" s="11"/>
      <c r="D16" t="s">
        <v>74</v>
      </c>
    </row>
    <row r="17" spans="1:4" x14ac:dyDescent="0.25">
      <c r="A17" t="s">
        <v>75</v>
      </c>
      <c r="B17" s="11"/>
      <c r="D17" t="s">
        <v>76</v>
      </c>
    </row>
    <row r="18" spans="1:4" x14ac:dyDescent="0.25">
      <c r="A18" t="s">
        <v>210</v>
      </c>
      <c r="B18" s="11"/>
      <c r="D18" t="s">
        <v>152</v>
      </c>
    </row>
    <row r="19" spans="1:4" x14ac:dyDescent="0.25">
      <c r="A19" t="s">
        <v>153</v>
      </c>
      <c r="B19" s="11"/>
      <c r="D19" t="s">
        <v>155</v>
      </c>
    </row>
    <row r="20" spans="1:4" x14ac:dyDescent="0.25">
      <c r="A20" t="s">
        <v>154</v>
      </c>
      <c r="B20" s="11"/>
      <c r="D20" t="s">
        <v>156</v>
      </c>
    </row>
  </sheetData>
  <sheetProtection sheet="1" objects="1" scenarios="1"/>
  <protectedRanges>
    <protectedRange sqref="B4:B20" name="mass spectrometry"/>
  </protectedRanges>
  <dataValidations count="24">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type="decimal" allowBlank="1" showInputMessage="1" showErrorMessage="1" promptTitle="Voltage/Current" prompt="Voltage/current applied for ionization, use below cell to indicate units." sqref="B8" xr:uid="{35095733-7E26-4C6D-A35B-D0C3E6DFE5CE}">
      <formula1>0</formula1>
      <formula2>10000</formula2>
    </dataValidation>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Fragmentation Energy" prompt="Value of the fragmentation or collision energy used in the collision cell, if ranged/stepped separate values with semicolon (;). Indicate units below." sqref="B13" xr:uid="{4C9AA417-D37B-4FA1-BEEE-8C9E1B10486E}"/>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promptTitle="Polarity" prompt="Polarity of the ionization for the submitted compounds (one ionization polarity per submission)." xr:uid="{330F47BF-6B64-4615-B655-AF90111B38CC}">
          <x14:formula1>
            <xm:f>Input_Validation!$L$2:$L$3</xm:f>
          </x14:formula1>
          <xm:sqref>B7</xm:sqref>
        </x14:dataValidation>
        <x14:dataValidation type="list" allowBlank="1" showInputMessage="1" showErrorMessage="1" promptTitle="MS Vendor" prompt="Vendor/Manufacturer of the mass spectrometer used." xr:uid="{D03EF809-9F0E-463C-969F-9391E077A0CD}">
          <x14:formula1>
            <xm:f>Input_Validation!$J$2:$J$7</xm:f>
          </x14:formula1>
          <xm:sqref>B4</xm:sqref>
        </x14:dataValidation>
        <x14:dataValidation type="list" allowBlank="1" showInputMessage="1" showErrorMessage="1" promptTitle="Ionization Mode" prompt="Mode of ionization of the mass spectrometer." xr:uid="{F649D416-F51F-45E1-986B-64AF9B9D743C}">
          <x14:formula1>
            <xm:f>Input_Validation!$K$2:$K$6</xm:f>
          </x14:formula1>
          <xm:sqref>B6</xm:sqref>
        </x14:dataValidation>
        <x14:dataValidation type="list" allowBlank="1" showInputMessage="1" showErrorMessage="1" promptTitle="Voltage/Current units" prompt="Units for the above-noted ionization voltage or current." xr:uid="{BEA77C32-33A9-4B84-AF93-6D37403A3FE8}">
          <x14:formula1>
            <xm:f>Input_Validation!$M$2:$M$6</xm:f>
          </x14:formula1>
          <xm:sqref>B9</xm:sqref>
        </x14:dataValidation>
        <x14:dataValidation type="list" allowBlank="1" showInputMessage="1" showErrorMessage="1" promptTitle="Second Mass Analyzer" prompt="Last mass analyzer in the mass spectrometer. Use 'none' if only one mass analyzer was used." xr:uid="{10274ED4-512F-459F-9E10-35A9CBE99FA9}">
          <x14:formula1>
            <xm:f>Input_Validation!$N$2:$N$8</xm:f>
          </x14:formula1>
          <xm:sqref>B11</xm:sqref>
        </x14:dataValidation>
        <x14:dataValidation type="list" allowBlank="1" showInputMessage="1" showErrorMessage="1" promptTitle="First Mass Analyzer" prompt="First mass analyzer in the mass spectrometer." xr:uid="{7B8A84FF-C74C-4820-B1EE-D6D26356737B}">
          <x14:formula1>
            <xm:f>Input_Validation!$N$3:$N$8</xm:f>
          </x14:formula1>
          <xm:sqref>B10</xm:sqref>
        </x14:dataValidation>
        <x14:dataValidation type="list" allowBlank="1" showInputMessage="1" showErrorMessage="1" promptTitle="Fragmentation Type" prompt="Type of fragmentation (or collisional dissociation) used for the generation of fragments." xr:uid="{592DEA97-875F-4FA3-BFE4-0F7F320D1FB8}">
          <x14:formula1>
            <xm:f>Input_Validation!$O$2:$O$5</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B4F92911-12A9-4597-8E45-92CD19A05BB9}">
          <x14:formula1>
            <xm:f>Input_Validation!$P$2:$P$3</xm:f>
          </x14:formula1>
          <xm:sqref>B14</xm:sqref>
        </x14:dataValidation>
        <x14:dataValidation type="list" allowBlank="1" showInputMessage="1" showErrorMessage="1" promptTitle="Fragmentation energy units." prompt="Units of the fragmentation/collision energy value above." xr:uid="{1DA3AEE0-3A29-4C5B-B0C2-34D75E993A53}">
          <x14:formula1>
            <xm:f>Input_Validation!$Q$2:$Q$3</xm:f>
          </x14:formula1>
          <xm:sqref>B15</xm:sqref>
        </x14:dataValidation>
        <x14:dataValidation type="list" allowBlank="1" showInputMessage="1" showErrorMessage="1" promptTitle="MS2 Experiment" prompt="Type of fragmentation (MS2) experiment._x000a_Data Dependent Analysis (DDA), also called TopN_x000a_SWATH - Sequential Windows of All Theoretical Mass Spectra_x000a_Data Independent Analysis (DIA), also called All Ion Fragmentation (AIF), MSe. Use 'none' for in-source frag" xr:uid="{31572AAB-ACBB-439E-B48A-B9225FC1F34C}">
          <x14:formula1>
            <xm:f>Input_Validation!$R$2:$R$5</xm:f>
          </x14:formula1>
          <xm:sqref>B16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D8"/>
  <sheetViews>
    <sheetView workbookViewId="0">
      <selection activeCell="B4" sqref="B4:B8"/>
    </sheetView>
  </sheetViews>
  <sheetFormatPr defaultRowHeight="15" x14ac:dyDescent="0.25"/>
  <cols>
    <col min="1" max="1" width="28" bestFit="1" customWidth="1"/>
    <col min="2" max="2" width="22.28515625" style="3" bestFit="1" customWidth="1"/>
    <col min="3" max="3" width="22.28515625" style="3" customWidth="1"/>
    <col min="4" max="4" width="14.5703125" bestFit="1" customWidth="1"/>
  </cols>
  <sheetData>
    <row r="1" spans="1:4" ht="18.75" x14ac:dyDescent="0.3">
      <c r="A1" s="2" t="s">
        <v>65</v>
      </c>
    </row>
    <row r="2" spans="1:4" x14ac:dyDescent="0.25">
      <c r="A2" s="1" t="s">
        <v>6</v>
      </c>
    </row>
    <row r="3" spans="1:4" x14ac:dyDescent="0.25">
      <c r="A3" s="1" t="s">
        <v>4</v>
      </c>
      <c r="B3" s="4" t="s">
        <v>3</v>
      </c>
      <c r="C3" s="4"/>
      <c r="D3" s="1" t="s">
        <v>160</v>
      </c>
    </row>
    <row r="4" spans="1:4" x14ac:dyDescent="0.25">
      <c r="A4" t="s">
        <v>123</v>
      </c>
      <c r="B4" s="11"/>
      <c r="D4" t="s">
        <v>59</v>
      </c>
    </row>
    <row r="5" spans="1:4" x14ac:dyDescent="0.25">
      <c r="A5" t="s">
        <v>60</v>
      </c>
      <c r="B5" s="11"/>
      <c r="D5" t="s">
        <v>64</v>
      </c>
    </row>
    <row r="6" spans="1:4" x14ac:dyDescent="0.25">
      <c r="A6" t="s">
        <v>61</v>
      </c>
      <c r="B6" s="11"/>
      <c r="D6" t="s">
        <v>64</v>
      </c>
    </row>
    <row r="7" spans="1:4" x14ac:dyDescent="0.25">
      <c r="A7" t="s">
        <v>62</v>
      </c>
      <c r="B7" s="11"/>
      <c r="D7" t="s">
        <v>64</v>
      </c>
    </row>
    <row r="8" spans="1:4" x14ac:dyDescent="0.25">
      <c r="A8" t="s">
        <v>63</v>
      </c>
      <c r="B8" s="11"/>
      <c r="D8" t="s">
        <v>64</v>
      </c>
    </row>
  </sheetData>
  <sheetProtection sheet="1" objects="1" scenarios="1"/>
  <protectedRanges>
    <protectedRange sqref="B4:B8" name="qc method"/>
  </protectedRanges>
  <dataValidations count="10">
    <dataValidation type="list" allowBlank="1" showInputMessage="1" showErrorMessage="1" promptTitle="Matrix Standard Verification" prompt="Was the performance of the method verified using matrix-matched solution containing known chemicals (not spiked)?" sqref="B8" xr:uid="{56E8DC6E-BF2D-427C-9732-764A5A97AB1E}">
      <formula1>"TRUE,FALSE"</formula1>
    </dataValidation>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type="list" allowBlank="1" showInputMessage="1" showErrorMessage="1" promptTitle="Was a QA/QC Method Used" prompt="During the collection of the submitted data, did the user apply a quality assurance or quality control protocol?" sqref="B4" xr:uid="{4B993926-5894-4FA1-B23B-CB2946449F44}">
      <formula1>"TRUE,FALSE"</formula1>
    </dataValidation>
    <dataValidation type="list" allowBlank="1" showInputMessage="1" showErrorMessage="1" promptTitle="Mass Analyzer Calibration" prompt="Was the mass analyzer (quadrupole, orbitrap, time-of-flight, ion trap, etc.) calibrated and within performance requirements prior to analysis?" sqref="B5" xr:uid="{C7140E64-1754-451F-B9CD-D37FBB3C4DAE}">
      <formula1>"TRUE,FALSE"</formula1>
    </dataValidation>
    <dataValidation type="list" allowBlank="1" showInputMessage="1" showErrorMessage="1" promptTitle="External Standard Verification" prompt="Was the performance of the method verified using chemical standards spiked in a blank solvent (non-matrix) solution?" sqref="B6" xr:uid="{8F5CF63C-F649-4255-A76E-B438F065EC55}">
      <formula1>"TRUE,FALSE"</formula1>
    </dataValidation>
    <dataValidation type="list" allowBlank="1" showInputMessage="1" showErrorMessage="1" promptTitle="Internal Standard Verification" prompt="Was the performance of the method verified using chemical standards spiked into the sample solutions?" sqref="B7" xr:uid="{A1821805-2D5B-4FE8-B58D-F425FA89F8D5}">
      <formula1>"TRUE,FALSE"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13"/>
  <sheetViews>
    <sheetView workbookViewId="0">
      <selection activeCell="A4" sqref="A4:H13"/>
    </sheetView>
  </sheetViews>
  <sheetFormatPr defaultRowHeight="15" x14ac:dyDescent="0.25"/>
  <cols>
    <col min="1" max="1" width="24" bestFit="1" customWidth="1"/>
    <col min="2" max="2" width="16.85546875" style="10" customWidth="1"/>
    <col min="3" max="3" width="8.85546875" style="10" bestFit="1" customWidth="1"/>
    <col min="4" max="4" width="9" bestFit="1" customWidth="1"/>
    <col min="5" max="5" width="6" bestFit="1" customWidth="1"/>
    <col min="6" max="6" width="16.5703125" bestFit="1" customWidth="1"/>
    <col min="7" max="7" width="14.85546875" bestFit="1" customWidth="1"/>
  </cols>
  <sheetData>
    <row r="1" spans="1:8" ht="18.75" x14ac:dyDescent="0.3">
      <c r="A1" s="2" t="s">
        <v>33</v>
      </c>
    </row>
    <row r="2" spans="1:8" x14ac:dyDescent="0.25">
      <c r="A2" s="1" t="s">
        <v>6</v>
      </c>
    </row>
    <row r="3" spans="1:8" x14ac:dyDescent="0.25">
      <c r="A3" s="5" t="s">
        <v>78</v>
      </c>
      <c r="B3" s="9" t="s">
        <v>211</v>
      </c>
      <c r="C3" s="5" t="s">
        <v>214</v>
      </c>
      <c r="D3" s="5" t="s">
        <v>79</v>
      </c>
      <c r="E3" s="5" t="s">
        <v>80</v>
      </c>
      <c r="F3" s="5" t="s">
        <v>81</v>
      </c>
      <c r="G3" s="5" t="s">
        <v>82</v>
      </c>
      <c r="H3" s="5" t="s">
        <v>225</v>
      </c>
    </row>
    <row r="4" spans="1:8" x14ac:dyDescent="0.25">
      <c r="A4" s="13"/>
      <c r="B4" s="13"/>
      <c r="C4" s="13"/>
      <c r="D4" s="13"/>
      <c r="E4" s="13"/>
      <c r="F4" s="13"/>
      <c r="G4" s="13"/>
      <c r="H4" s="13"/>
    </row>
    <row r="5" spans="1:8" x14ac:dyDescent="0.25">
      <c r="A5" s="13"/>
      <c r="B5" s="13"/>
      <c r="C5" s="13"/>
      <c r="D5" s="13"/>
      <c r="E5" s="13"/>
      <c r="F5" s="13"/>
      <c r="G5" s="13"/>
      <c r="H5" s="13"/>
    </row>
    <row r="6" spans="1:8" x14ac:dyDescent="0.25">
      <c r="A6" s="13"/>
      <c r="B6" s="13"/>
      <c r="C6" s="13"/>
      <c r="D6" s="13"/>
      <c r="E6" s="13"/>
      <c r="F6" s="13"/>
      <c r="G6" s="13"/>
      <c r="H6" s="13"/>
    </row>
    <row r="7" spans="1:8" x14ac:dyDescent="0.25">
      <c r="A7" s="13"/>
      <c r="B7" s="13"/>
      <c r="C7" s="13"/>
      <c r="D7" s="13"/>
      <c r="E7" s="13"/>
      <c r="F7" s="13"/>
      <c r="G7" s="13"/>
      <c r="H7" s="13"/>
    </row>
    <row r="8" spans="1:8" x14ac:dyDescent="0.25">
      <c r="A8" s="13"/>
      <c r="B8" s="13"/>
      <c r="C8" s="13"/>
      <c r="D8" s="13"/>
      <c r="E8" s="13"/>
      <c r="F8" s="13"/>
      <c r="G8" s="13"/>
      <c r="H8" s="13"/>
    </row>
    <row r="9" spans="1:8" x14ac:dyDescent="0.25">
      <c r="A9" s="13"/>
      <c r="B9" s="13"/>
      <c r="C9" s="13"/>
      <c r="D9" s="13"/>
      <c r="E9" s="13"/>
      <c r="F9" s="13"/>
      <c r="G9" s="13"/>
      <c r="H9" s="13"/>
    </row>
    <row r="10" spans="1:8" x14ac:dyDescent="0.25">
      <c r="A10" s="13"/>
      <c r="B10" s="13"/>
      <c r="C10" s="13"/>
      <c r="D10" s="13"/>
      <c r="E10" s="13"/>
      <c r="F10" s="13"/>
      <c r="G10" s="13"/>
      <c r="H10" s="13"/>
    </row>
    <row r="11" spans="1:8" x14ac:dyDescent="0.25">
      <c r="A11" s="13"/>
      <c r="B11" s="13"/>
      <c r="C11" s="13"/>
      <c r="D11" s="13"/>
      <c r="E11" s="13"/>
      <c r="F11" s="13"/>
      <c r="G11" s="13"/>
      <c r="H11" s="13"/>
    </row>
    <row r="12" spans="1:8" x14ac:dyDescent="0.25">
      <c r="A12" s="13"/>
      <c r="B12" s="13"/>
      <c r="C12" s="13"/>
      <c r="D12" s="13"/>
      <c r="E12" s="13"/>
      <c r="F12" s="13"/>
      <c r="G12" s="13"/>
      <c r="H12" s="13"/>
    </row>
    <row r="13" spans="1:8" x14ac:dyDescent="0.25">
      <c r="A13" s="13"/>
      <c r="B13" s="13"/>
      <c r="C13" s="13"/>
      <c r="D13" s="13"/>
      <c r="E13" s="13"/>
      <c r="F13" s="13"/>
      <c r="G13" s="13"/>
      <c r="H13" s="13"/>
    </row>
  </sheetData>
  <sheetProtection sheet="1" objects="1" scenarios="1"/>
  <protectedRanges>
    <protectedRange sqref="A4:H1048576" name="peaks"/>
  </protectedRanges>
  <dataValidations count="9">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parent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Compound Verification" prompt="Was the identity of the compound verified by using a chemical standard and comparing the retention time, precursor ion, and/or fragmentation mass spectra?" sqref="H3" xr:uid="{2A92C2A7-746E-4B6F-9C0F-30F03CC2DAA4}"/>
    <dataValidation type="list" allowBlank="1" showInputMessage="1" showErrorMessage="1" sqref="H4:H1048576" xr:uid="{A7E392E9-875C-4E5F-B259-CC77030F7DDF}">
      <formula1>"TRUE,FALSE"</formula1>
    </dataValidation>
  </dataValidations>
  <hyperlinks>
    <hyperlink ref="B3" r:id="rId1" display="identifier" xr:uid="{EA405BE7-5715-47D3-946C-EB2585244009}"/>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1">
        <x14:dataValidation type="list" allowBlank="1" showInputMessage="1" showErrorMessage="1" xr:uid="{FC0D2C2B-F483-4BFD-A544-6F4549ECE9F7}">
          <x14:formula1>
            <xm:f>Input_Validation!$S$2:$S$11</xm:f>
          </x14:formula1>
          <xm:sqref>C4:C1048576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S15"/>
  <sheetViews>
    <sheetView topLeftCell="J1" workbookViewId="0">
      <selection activeCell="Q15" sqref="Q15"/>
    </sheetView>
  </sheetViews>
  <sheetFormatPr defaultRowHeight="15" x14ac:dyDescent="0.25"/>
  <cols>
    <col min="1" max="1" width="32.140625" bestFit="1" customWidth="1"/>
    <col min="2" max="2" width="22.140625" bestFit="1" customWidth="1"/>
    <col min="3" max="3" width="21.28515625" bestFit="1" customWidth="1"/>
    <col min="4" max="4" width="18.7109375" bestFit="1" customWidth="1"/>
    <col min="5" max="5" width="19.85546875" bestFit="1" customWidth="1"/>
    <col min="6" max="6" width="29.28515625" bestFit="1" customWidth="1"/>
    <col min="7" max="7" width="29.28515625" customWidth="1"/>
    <col min="8" max="8" width="29.28515625" bestFit="1" customWidth="1"/>
    <col min="9" max="9" width="29.28515625" customWidth="1"/>
    <col min="10" max="10" width="24.42578125" bestFit="1" customWidth="1"/>
    <col min="11" max="11" width="36.85546875" bestFit="1" customWidth="1"/>
    <col min="13" max="13" width="29" bestFit="1" customWidth="1"/>
    <col min="14" max="14" width="14.42578125" bestFit="1" customWidth="1"/>
    <col min="15" max="15" width="22.85546875" bestFit="1" customWidth="1"/>
    <col min="16" max="16" width="33" bestFit="1" customWidth="1"/>
    <col min="17" max="17" width="33.28515625" bestFit="1" customWidth="1"/>
    <col min="18" max="18" width="14.85546875" bestFit="1" customWidth="1"/>
    <col min="19" max="19" width="11.85546875" bestFit="1" customWidth="1"/>
  </cols>
  <sheetData>
    <row r="1" spans="1:19" x14ac:dyDescent="0.25">
      <c r="A1" t="s">
        <v>71</v>
      </c>
      <c r="B1" t="s">
        <v>5</v>
      </c>
      <c r="C1" t="s">
        <v>30</v>
      </c>
      <c r="D1" t="s">
        <v>101</v>
      </c>
      <c r="E1" t="s">
        <v>102</v>
      </c>
      <c r="F1" t="s">
        <v>29</v>
      </c>
      <c r="G1" t="s">
        <v>24</v>
      </c>
      <c r="H1" t="s">
        <v>165</v>
      </c>
      <c r="I1" t="s">
        <v>24</v>
      </c>
      <c r="J1" t="s">
        <v>34</v>
      </c>
      <c r="K1" t="s">
        <v>35</v>
      </c>
      <c r="L1" t="s">
        <v>38</v>
      </c>
      <c r="M1" t="s">
        <v>43</v>
      </c>
      <c r="N1" t="s">
        <v>134</v>
      </c>
      <c r="O1" t="s">
        <v>54</v>
      </c>
      <c r="P1" t="s">
        <v>56</v>
      </c>
      <c r="Q1" t="s">
        <v>57</v>
      </c>
      <c r="R1" t="s">
        <v>73</v>
      </c>
      <c r="S1" t="s">
        <v>214</v>
      </c>
    </row>
    <row r="2" spans="1:19" x14ac:dyDescent="0.25">
      <c r="A2" t="s">
        <v>83</v>
      </c>
      <c r="B2" t="s">
        <v>92</v>
      </c>
      <c r="C2" t="s">
        <v>7</v>
      </c>
      <c r="D2" t="s">
        <v>14</v>
      </c>
      <c r="E2" t="s">
        <v>14</v>
      </c>
      <c r="F2" t="s">
        <v>7</v>
      </c>
      <c r="G2" t="s">
        <v>14</v>
      </c>
      <c r="H2" t="s">
        <v>14</v>
      </c>
      <c r="I2" t="s">
        <v>14</v>
      </c>
      <c r="J2" t="s">
        <v>7</v>
      </c>
      <c r="K2" t="s">
        <v>36</v>
      </c>
      <c r="L2" t="s">
        <v>129</v>
      </c>
      <c r="M2" t="s">
        <v>44</v>
      </c>
      <c r="N2" t="s">
        <v>14</v>
      </c>
      <c r="O2" t="s">
        <v>52</v>
      </c>
      <c r="P2" t="s">
        <v>144</v>
      </c>
      <c r="Q2" t="s">
        <v>143</v>
      </c>
      <c r="R2" t="s">
        <v>14</v>
      </c>
      <c r="S2" t="s">
        <v>216</v>
      </c>
    </row>
    <row r="3" spans="1:19" x14ac:dyDescent="0.25">
      <c r="A3" t="s">
        <v>84</v>
      </c>
      <c r="B3" t="s">
        <v>93</v>
      </c>
      <c r="C3" t="s">
        <v>31</v>
      </c>
      <c r="D3" t="s">
        <v>103</v>
      </c>
      <c r="E3" t="s">
        <v>104</v>
      </c>
      <c r="F3" t="s">
        <v>31</v>
      </c>
      <c r="G3" t="s">
        <v>176</v>
      </c>
      <c r="H3" t="s">
        <v>7</v>
      </c>
      <c r="I3" t="s">
        <v>176</v>
      </c>
      <c r="J3" t="s">
        <v>31</v>
      </c>
      <c r="K3" t="s">
        <v>125</v>
      </c>
      <c r="L3" t="s">
        <v>39</v>
      </c>
      <c r="M3" t="s">
        <v>130</v>
      </c>
      <c r="N3" t="s">
        <v>47</v>
      </c>
      <c r="O3" t="s">
        <v>138</v>
      </c>
      <c r="P3" t="s">
        <v>145</v>
      </c>
      <c r="Q3" t="s">
        <v>44</v>
      </c>
      <c r="R3" t="s">
        <v>140</v>
      </c>
      <c r="S3" t="s">
        <v>215</v>
      </c>
    </row>
    <row r="4" spans="1:19" x14ac:dyDescent="0.25">
      <c r="A4" t="s">
        <v>85</v>
      </c>
      <c r="B4" t="s">
        <v>94</v>
      </c>
      <c r="C4" t="s">
        <v>96</v>
      </c>
      <c r="D4" t="s">
        <v>107</v>
      </c>
      <c r="E4" t="s">
        <v>106</v>
      </c>
      <c r="F4" t="s">
        <v>96</v>
      </c>
      <c r="G4" t="s">
        <v>177</v>
      </c>
      <c r="H4" t="s">
        <v>31</v>
      </c>
      <c r="I4" t="s">
        <v>177</v>
      </c>
      <c r="J4" t="s">
        <v>96</v>
      </c>
      <c r="K4" t="s">
        <v>126</v>
      </c>
      <c r="M4" t="s">
        <v>131</v>
      </c>
      <c r="N4" t="s">
        <v>135</v>
      </c>
      <c r="O4" t="s">
        <v>139</v>
      </c>
      <c r="R4" t="s">
        <v>142</v>
      </c>
      <c r="S4" t="s">
        <v>217</v>
      </c>
    </row>
    <row r="5" spans="1:19" x14ac:dyDescent="0.25">
      <c r="A5" t="s">
        <v>87</v>
      </c>
      <c r="B5" t="s">
        <v>95</v>
      </c>
      <c r="C5" t="s">
        <v>97</v>
      </c>
      <c r="D5" t="s">
        <v>105</v>
      </c>
      <c r="E5" t="s">
        <v>108</v>
      </c>
      <c r="F5" t="s">
        <v>97</v>
      </c>
      <c r="G5" t="s">
        <v>174</v>
      </c>
      <c r="H5" t="s">
        <v>96</v>
      </c>
      <c r="I5" t="s">
        <v>174</v>
      </c>
      <c r="J5" t="s">
        <v>97</v>
      </c>
      <c r="K5" t="s">
        <v>127</v>
      </c>
      <c r="M5" t="s">
        <v>132</v>
      </c>
      <c r="N5" t="s">
        <v>136</v>
      </c>
      <c r="O5" t="s">
        <v>206</v>
      </c>
      <c r="R5" t="s">
        <v>141</v>
      </c>
      <c r="S5" t="s">
        <v>218</v>
      </c>
    </row>
    <row r="6" spans="1:19" x14ac:dyDescent="0.25">
      <c r="A6" t="s">
        <v>86</v>
      </c>
      <c r="C6" t="s">
        <v>98</v>
      </c>
      <c r="D6" t="s">
        <v>109</v>
      </c>
      <c r="E6" t="s">
        <v>110</v>
      </c>
      <c r="F6" t="s">
        <v>113</v>
      </c>
      <c r="G6" t="s">
        <v>175</v>
      </c>
      <c r="H6" t="s">
        <v>97</v>
      </c>
      <c r="I6" t="s">
        <v>175</v>
      </c>
      <c r="J6" t="s">
        <v>98</v>
      </c>
      <c r="K6" t="s">
        <v>128</v>
      </c>
      <c r="M6" t="s">
        <v>133</v>
      </c>
      <c r="N6" t="s">
        <v>137</v>
      </c>
      <c r="S6" t="s">
        <v>219</v>
      </c>
    </row>
    <row r="7" spans="1:19" x14ac:dyDescent="0.25">
      <c r="A7" t="s">
        <v>88</v>
      </c>
      <c r="C7" t="s">
        <v>99</v>
      </c>
      <c r="D7" t="s">
        <v>185</v>
      </c>
      <c r="E7" t="s">
        <v>111</v>
      </c>
      <c r="F7" t="s">
        <v>171</v>
      </c>
      <c r="G7" t="s">
        <v>182</v>
      </c>
      <c r="H7" t="s">
        <v>113</v>
      </c>
      <c r="I7" t="s">
        <v>182</v>
      </c>
      <c r="J7" t="s">
        <v>99</v>
      </c>
      <c r="N7" t="s">
        <v>50</v>
      </c>
      <c r="S7" t="s">
        <v>220</v>
      </c>
    </row>
    <row r="8" spans="1:19" x14ac:dyDescent="0.25">
      <c r="A8" t="s">
        <v>89</v>
      </c>
      <c r="C8" t="s">
        <v>100</v>
      </c>
      <c r="D8" t="s">
        <v>183</v>
      </c>
      <c r="E8" t="s">
        <v>112</v>
      </c>
      <c r="F8" t="s">
        <v>172</v>
      </c>
      <c r="G8" t="s">
        <v>178</v>
      </c>
      <c r="H8" t="s">
        <v>171</v>
      </c>
      <c r="I8" t="s">
        <v>181</v>
      </c>
      <c r="N8" t="s">
        <v>212</v>
      </c>
      <c r="S8" t="s">
        <v>221</v>
      </c>
    </row>
    <row r="9" spans="1:19" x14ac:dyDescent="0.25">
      <c r="A9" t="s">
        <v>90</v>
      </c>
      <c r="D9" t="s">
        <v>184</v>
      </c>
      <c r="F9" t="s">
        <v>173</v>
      </c>
      <c r="G9" t="s">
        <v>179</v>
      </c>
      <c r="H9" t="s">
        <v>172</v>
      </c>
      <c r="I9" t="s">
        <v>179</v>
      </c>
      <c r="S9" t="s">
        <v>224</v>
      </c>
    </row>
    <row r="10" spans="1:19" x14ac:dyDescent="0.25">
      <c r="A10" t="s">
        <v>91</v>
      </c>
      <c r="D10" t="s">
        <v>197</v>
      </c>
      <c r="G10" t="s">
        <v>180</v>
      </c>
      <c r="H10" t="s">
        <v>173</v>
      </c>
      <c r="I10" t="s">
        <v>180</v>
      </c>
      <c r="S10" t="s">
        <v>222</v>
      </c>
    </row>
    <row r="11" spans="1:19" x14ac:dyDescent="0.25">
      <c r="A11" t="s">
        <v>186</v>
      </c>
      <c r="S11" t="s">
        <v>223</v>
      </c>
    </row>
    <row r="12" spans="1:19" x14ac:dyDescent="0.25">
      <c r="A12" t="s">
        <v>187</v>
      </c>
    </row>
    <row r="13" spans="1:19" x14ac:dyDescent="0.25">
      <c r="A13" t="s">
        <v>188</v>
      </c>
    </row>
    <row r="14" spans="1:19" x14ac:dyDescent="0.25">
      <c r="A14" t="s">
        <v>189</v>
      </c>
    </row>
    <row r="15" spans="1:19" x14ac:dyDescent="0.25">
      <c r="A15" t="s">
        <v>190</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Run</vt:lpstr>
      <vt:lpstr>Sample_Input</vt:lpstr>
      <vt:lpstr>Chromatography_Input</vt:lpstr>
      <vt:lpstr>Mass Spectrometry_Input</vt:lpstr>
      <vt:lpstr>QC Method_Input</vt:lpstr>
      <vt:lpstr>Peaks_Input</vt:lpstr>
      <vt:lpstr>Input_Validation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2021-07-01T18:59:07Z</dcterms:modified>
</cp:coreProperties>
</file>