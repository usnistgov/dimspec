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bjp\Documents\code_repository\tempgitholder\methodreportingtool\"/>
    </mc:Choice>
  </mc:AlternateContent>
  <xr:revisionPtr revIDLastSave="0" documentId="13_ncr:1_{F2D54540-A18F-4235-8E81-7BB2162EABBD}" xr6:coauthVersionLast="45" xr6:coauthVersionMax="45" xr10:uidLastSave="{00000000-0000-0000-0000-000000000000}"/>
  <bookViews>
    <workbookView xWindow="-120" yWindow="-120" windowWidth="25440" windowHeight="15390" xr2:uid="{90B8E717-CD35-4EBB-A047-3C52215825F8}"/>
  </bookViews>
  <sheets>
    <sheet name="Run" sheetId="10" r:id="rId1"/>
    <sheet name="Sample_Input" sheetId="5" r:id="rId2"/>
    <sheet name="Chromatography_Input" sheetId="1" r:id="rId3"/>
    <sheet name="Mass Spectrometry_Input" sheetId="3" r:id="rId4"/>
    <sheet name="QC Method_Input" sheetId="4" r:id="rId5"/>
    <sheet name="Peaks_Input" sheetId="8" r:id="rId6"/>
    <sheet name="Input_Validation" sheetId="11" state="hidden" r:id="rId7"/>
    <sheet name="Ann_Perfluorobutanoic acid" sheetId="12" r:id="rId8"/>
    <sheet name="Ann_Perfluoropentanoic acid" sheetId="13" r:id="rId9"/>
    <sheet name="Ann_Perfluorohexanoic acid" sheetId="14" r:id="rId10"/>
    <sheet name="Ann_Perfluoroheptanoic acid" sheetId="15" r:id="rId11"/>
    <sheet name="Ann_Perfluorooctanoic acid" sheetId="16" r:id="rId12"/>
    <sheet name="Ann_Perfluorononanoic acid" sheetId="17" r:id="rId13"/>
    <sheet name="Ann_Perfluorodecanoic acid" sheetId="18" r:id="rId14"/>
    <sheet name="Ann_Perfluorododecanoic acid" sheetId="19" r:id="rId15"/>
    <sheet name="Ann_Perfluoroundecanoic acid" sheetId="20" r:id="rId16"/>
    <sheet name="Ann_Perfluorotridecanoic acid" sheetId="21" r:id="rId17"/>
  </sheets>
  <definedNames>
    <definedName name="_xlnm._FilterDatabase" localSheetId="6" hidden="1">Input_Validation!$D$2:$D$6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9" i="10" l="1"/>
  <c r="C7" i="10" l="1"/>
  <c r="C6" i="10" l="1"/>
  <c r="C8" i="10" l="1"/>
  <c r="C5"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B314188A-7135-408A-8C9F-0AE2DB66DF05}">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5CB1EFEF-6169-480B-A5D0-BF94711BAE83}">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500A0DD-DB98-4336-B106-B57282F8AA95}">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2FCAC71-4312-4C37-BA8B-3E13E1841882}">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E958C2D-0F4B-4B80-B8A3-D2B6C432A249}">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73A2522A-8DB5-4CBA-B79B-461321A78755}">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D80E9C7D-143B-41C5-AA1B-972E1C1C16FC}">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507FFB1B-6DAB-4911-8834-C27E55F04206}">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5878A25C-A032-4DAE-AAF6-1B7EDF1C711C}">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75765B0-28F0-4AD7-B377-B5D895DE31BA}">
      <text/>
    </comment>
  </commentList>
</comments>
</file>

<file path=xl/sharedStrings.xml><?xml version="1.0" encoding="utf-8"?>
<sst xmlns="http://schemas.openxmlformats.org/spreadsheetml/2006/main" count="494" uniqueCount="277">
  <si>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</si>
  <si>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</si>
  <si>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</si>
  <si>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</si>
  <si>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</si>
  <si>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</si>
  <si>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</si>
  <si>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</si>
  <si>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</si>
  <si>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</si>
  <si>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</si>
  <si>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</si>
  <si>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</si>
  <si>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</si>
  <si>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</si>
  <si>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cetype</t>
  </si>
  <si>
    <t>mp1solvent</t>
  </si>
  <si>
    <t>mp1add</t>
  </si>
  <si>
    <t>mp2add</t>
  </si>
  <si>
    <t>mp3solvent</t>
  </si>
  <si>
    <t>mp3add</t>
  </si>
  <si>
    <t>mp4solvent</t>
  </si>
  <si>
    <t>mp4add</t>
  </si>
  <si>
    <t>colname</t>
  </si>
  <si>
    <t>Column Phase</t>
  </si>
  <si>
    <t>colchemistry</t>
  </si>
  <si>
    <t>colid</t>
  </si>
  <si>
    <t>collen</t>
  </si>
  <si>
    <t>coldp</t>
  </si>
  <si>
    <t>Chromatography Column Vendor</t>
  </si>
  <si>
    <t>Chromatograph Vendor</t>
  </si>
  <si>
    <t>Agilent Technologies</t>
  </si>
  <si>
    <t>cvendor</t>
  </si>
  <si>
    <t>Mass Spectrometry</t>
  </si>
  <si>
    <t>Mass Spectrometer Vendor</t>
  </si>
  <si>
    <t>Ionization Mode</t>
  </si>
  <si>
    <t>electrospray ionization</t>
  </si>
  <si>
    <t>imode</t>
  </si>
  <si>
    <t>Polarity</t>
  </si>
  <si>
    <t>negative</t>
  </si>
  <si>
    <t>polarity</t>
  </si>
  <si>
    <t>Ionization Voltage/Current</t>
  </si>
  <si>
    <t>vvalue</t>
  </si>
  <si>
    <t>Ionization Voltage/Current Units</t>
  </si>
  <si>
    <t>V</t>
  </si>
  <si>
    <t>vunits</t>
  </si>
  <si>
    <t>First Mass Analyzer</t>
  </si>
  <si>
    <t>quadrupole</t>
  </si>
  <si>
    <t>massanalyzer1</t>
  </si>
  <si>
    <t>Second Mass Analyzer</t>
  </si>
  <si>
    <t>orbitrap</t>
  </si>
  <si>
    <t>massanalyzer2</t>
  </si>
  <si>
    <t>HCD</t>
  </si>
  <si>
    <t>fragmode</t>
  </si>
  <si>
    <t>Collision Cell Type</t>
  </si>
  <si>
    <t>cevalue</t>
  </si>
  <si>
    <t>Fragmentation/Collision Energy Type</t>
  </si>
  <si>
    <t>Fragmentation/Collision Energy Units</t>
  </si>
  <si>
    <t>ceunits</t>
  </si>
  <si>
    <t>qcused</t>
  </si>
  <si>
    <t>Mass Analyzer Calibration</t>
  </si>
  <si>
    <t>External Standard Verification</t>
  </si>
  <si>
    <t>Internal Standard Verification</t>
  </si>
  <si>
    <t>Matrix Standard Verification</t>
  </si>
  <si>
    <t>qctype</t>
  </si>
  <si>
    <t>QC Method</t>
  </si>
  <si>
    <t>Sample Information</t>
  </si>
  <si>
    <t>File Name</t>
  </si>
  <si>
    <t>Sample Name</t>
  </si>
  <si>
    <t>filename</t>
  </si>
  <si>
    <t>description</t>
  </si>
  <si>
    <t>Sample Class</t>
  </si>
  <si>
    <t>class</t>
  </si>
  <si>
    <t>MS2 Experiment</t>
  </si>
  <si>
    <t>ms2exp</t>
  </si>
  <si>
    <t>Isolation Width/Window (Da)</t>
  </si>
  <si>
    <t>isowidth</t>
  </si>
  <si>
    <t>submitter</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</si>
  <si>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</si>
  <si>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</si>
  <si>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</si>
  <si>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</si>
  <si>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</si>
  <si>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</si>
  <si>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</si>
  <si>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</si>
  <si>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</si>
  <si>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</si>
  <si>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</si>
  <si>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</si>
  <si>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</si>
  <si>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</si>
  <si>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</si>
  <si>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</si>
  <si>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</si>
  <si>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</si>
  <si>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</si>
  <si>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</si>
  <si>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</si>
  <si>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</si>
  <si>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</si>
  <si>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Solvents</t>
  </si>
  <si>
    <t>Additives</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</si>
  <si>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</si>
  <si>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</si>
  <si>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</si>
  <si>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</si>
  <si>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</si>
  <si>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</si>
  <si>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</si>
  <si>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</si>
  <si>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</si>
  <si>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</si>
  <si>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</si>
  <si>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</si>
  <si>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</si>
  <si>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</si>
  <si>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</si>
  <si>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</si>
  <si>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</si>
  <si>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</si>
  <si>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</si>
  <si>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</si>
  <si>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</si>
  <si>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Method Reporting Tool for Non-Targeted Analyses</t>
  </si>
  <si>
    <t>atmospheric pressure chemical ionization</t>
  </si>
  <si>
    <t>atmospheric pressure photoionization</t>
  </si>
  <si>
    <t>chemical ionization</t>
  </si>
  <si>
    <t>electron ionization</t>
  </si>
  <si>
    <t>positive</t>
  </si>
  <si>
    <t>kV</t>
  </si>
  <si>
    <t>A</t>
  </si>
  <si>
    <t>μA</t>
  </si>
  <si>
    <t>eV</t>
  </si>
  <si>
    <t>Mass Analyzers</t>
  </si>
  <si>
    <t>linear ion-trap</t>
  </si>
  <si>
    <t>magnetic sector</t>
  </si>
  <si>
    <t>time-of-flight</t>
  </si>
  <si>
    <t>CID</t>
  </si>
  <si>
    <t>ECD</t>
  </si>
  <si>
    <t>DDA</t>
  </si>
  <si>
    <t>DIA</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</si>
  <si>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</si>
  <si>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</si>
  <si>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</si>
  <si>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</si>
  <si>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</si>
  <si>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</si>
  <si>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</si>
  <si>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</si>
  <si>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</si>
  <si>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</si>
  <si>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</si>
  <si>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</si>
  <si>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</si>
  <si>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</si>
  <si>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</si>
  <si>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</si>
  <si>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</si>
  <si>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</si>
  <si>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XML Parameter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</si>
  <si>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</si>
  <si>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</si>
  <si>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</si>
  <si>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</si>
  <si>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</si>
  <si>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</si>
  <si>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</si>
  <si>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</si>
  <si>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</si>
  <si>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</si>
  <si>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</si>
  <si>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</si>
  <si>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</si>
  <si>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</si>
  <si>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</si>
  <si>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</si>
  <si>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</si>
  <si>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</si>
  <si>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</si>
  <si>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</si>
  <si>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silica (no ligands)</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</si>
  <si>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</si>
  <si>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</si>
  <si>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</si>
  <si>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</si>
  <si>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</si>
  <si>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</si>
  <si>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</si>
  <si>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</si>
  <si>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</si>
  <si>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</si>
  <si>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</si>
  <si>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</si>
  <si>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</si>
  <si>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</si>
  <si>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</si>
  <si>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</si>
  <si>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</si>
  <si>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</si>
  <si>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</si>
  <si>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</si>
  <si>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</si>
  <si>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</si>
  <si>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</si>
  <si>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</si>
  <si>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</si>
  <si>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</si>
  <si>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t>
  </si>
  <si>
    <t>Fragmentation Energy Units</t>
  </si>
  <si>
    <t>Instrument Mass Accuracy (ppm)</t>
  </si>
  <si>
    <t>Suspect List ID</t>
  </si>
  <si>
    <t>PFAC30PAR_PFCA2.mzML</t>
  </si>
  <si>
    <t>UltiMate 3000</t>
  </si>
  <si>
    <t>Poroshell C18</t>
  </si>
  <si>
    <t>C18</t>
  </si>
  <si>
    <t>Q-Exactive</t>
  </si>
  <si>
    <t>15;30;45</t>
  </si>
  <si>
    <t>Perfluorobutanoic acid</t>
  </si>
  <si>
    <t>Perfluoropentanoic acid</t>
  </si>
  <si>
    <t>Perfluorohexanoic acid</t>
  </si>
  <si>
    <t>Perfluoroheptanoic acid</t>
  </si>
  <si>
    <t>Perfluorooctanoic acid</t>
  </si>
  <si>
    <t>Perfluorononanoic acid</t>
  </si>
  <si>
    <t>Perfluorodecanoic acid</t>
  </si>
  <si>
    <t>Perfluorododecanoic acid</t>
  </si>
  <si>
    <t>Perfluoroundecanoic acid</t>
  </si>
  <si>
    <t>Perfluorotridecanoic acid</t>
  </si>
  <si>
    <t>Reference Standard for PFAS</t>
  </si>
  <si>
    <t>fourier transform ion cyclotron resonance</t>
  </si>
  <si>
    <t>Peak Annotation for Perfluorobutanoic acid</t>
  </si>
  <si>
    <t>Fragment m/z</t>
  </si>
  <si>
    <t>Fragment Elemental Formula</t>
  </si>
  <si>
    <t>Fragment SMILES</t>
  </si>
  <si>
    <t>Radical?</t>
  </si>
  <si>
    <t>Fragment Citation</t>
  </si>
  <si>
    <t>Peak Annotation for Perfluoropentanoic acid</t>
  </si>
  <si>
    <t>Peak Annotation for Perfluorohexanoic acid</t>
  </si>
  <si>
    <t>Peak Annotation for Perfluoroheptanoic acid</t>
  </si>
  <si>
    <t>Peak Annotation for Perfluorooctanoic acid</t>
  </si>
  <si>
    <t>Peak Annotation for Perfluorononanoic acid</t>
  </si>
  <si>
    <t>Peak Annotation for Perfluorodecanoic acid</t>
  </si>
  <si>
    <t>Peak Annotation for Perfluorododecanoic acid</t>
  </si>
  <si>
    <t>Peak Annotation for Perfluoroundecanoic acid</t>
  </si>
  <si>
    <t>Peak Annotation for Perfluorotridecanoic acid</t>
  </si>
  <si>
    <t>C4F9</t>
  </si>
  <si>
    <t>FC(F)([C-](F)F)C(F)(F)C(F)(F)F</t>
  </si>
  <si>
    <t>C2H3O2</t>
  </si>
  <si>
    <t>[O-]\\C=C\\O</t>
  </si>
  <si>
    <t>DOI:10.1002/rcm.3274</t>
  </si>
  <si>
    <t>DOI:10.1021/acs.est.6b05843</t>
  </si>
  <si>
    <t>C2F5</t>
  </si>
  <si>
    <t>F[C-](F)C(F)(F)F</t>
  </si>
  <si>
    <t>C5F11</t>
  </si>
  <si>
    <t>FC(F)(C(F)(F)C(F)(F)F)C(F)(F)[C-](F)F</t>
  </si>
  <si>
    <t>C3F7</t>
  </si>
  <si>
    <t>F[C-](F)C(F)(F)C(F)(F)F</t>
  </si>
  <si>
    <t>C6F13</t>
  </si>
  <si>
    <t>FC(F)(C(F)(F)C(F)(F)F)C(F)(F)C(F)(F)[C-](F)F</t>
  </si>
  <si>
    <t>C7F15</t>
  </si>
  <si>
    <t>FC(F)(C(F)(F)C(F)(F)F)C(F)(F)C(F)(F)C(F)(F)[C-](F)F</t>
  </si>
  <si>
    <t>UNKNOWN</t>
  </si>
  <si>
    <t>USER</t>
  </si>
  <si>
    <t>Submitted by</t>
  </si>
  <si>
    <t>bjp@nist.gov</t>
  </si>
  <si>
    <t>Ion State</t>
  </si>
  <si>
    <t>[M+H]+</t>
  </si>
  <si>
    <t>[M]+</t>
  </si>
  <si>
    <t>[M+Na]+</t>
  </si>
  <si>
    <t>[M+K]+</t>
  </si>
  <si>
    <t>[M+NH4]+</t>
  </si>
  <si>
    <t>[M-H2O+H]+</t>
  </si>
  <si>
    <t>[M]-</t>
  </si>
  <si>
    <t>[M-FCO2H]-</t>
  </si>
  <si>
    <t>[2M-H]-</t>
  </si>
  <si>
    <t>[M-H]-</t>
  </si>
  <si>
    <t>Verified?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</si>
</sst>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sz val="11"/>
      <color theme="1"/>
      <name val="Calibri"/>
      <family val="2"/>
    </font>
    <font>
      <b/>
      <sz val="16"/>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4">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0" applyFont="1"/>
    <xf numFmtId="0" fontId="6" fillId="0" borderId="0" xfId="1"/>
    <xf numFmtId="0" fontId="6" fillId="0" borderId="0" xfId="1" applyAlignment="1">
      <alignment horizontal="center"/>
    </xf>
    <xf numFmtId="0" fontId="0" fillId="0" borderId="0" xfId="0" applyAlignment="1">
      <alignment horizontal="center"/>
    </xf>
    <xf numFmtId="0" fontId="0" fillId="0" borderId="0" xfId="0" applyAlignment="1" applyProtection="1">
      <alignment horizontal="left"/>
    </xf>
    <xf numFmtId="0" fontId="6" fillId="0" borderId="0" xfId="1" applyAlignment="1" applyProtection="1">
      <alignment horizontal="left"/>
    </xf>
    <xf numFmtId="0" fontId="0" fillId="0" borderId="0" xfId="0" applyProtection="1"/>
  </cellXfs>
  <cellStyles count="2">
    <cellStyle name="Hyperlink" xfId="1" builtinId="8"/>
    <cellStyle name="Normal" xfId="0" builtinId="0"/>
  </cellStyles>
  <dxfs count="6">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Method XML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hyperlink" Target="mailto:bjp@nist.gov"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data.nist.gov/od/id/mds2-2387"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18"/>
  <sheetViews>
    <sheetView tabSelected="1" workbookViewId="0">
      <selection activeCell="O19" sqref="O19"/>
    </sheetView>
  </sheetViews>
  <sheetFormatPr defaultRowHeight="15" x14ac:dyDescent="0.25"/>
  <cols>
    <col min="2" max="2" width="30.140625" customWidth="1"/>
  </cols>
  <sheetData>
    <row r="1" spans="1:3" ht="21" x14ac:dyDescent="0.35">
      <c r="A1" s="7" t="s">
        <v>124</v>
      </c>
    </row>
    <row r="3" spans="1:3" x14ac:dyDescent="0.25">
      <c r="A3" s="1" t="s">
        <v>114</v>
      </c>
    </row>
    <row r="4" spans="1:3" x14ac:dyDescent="0.25">
      <c r="B4" s="1" t="s">
        <v>120</v>
      </c>
      <c r="C4" s="1" t="s">
        <v>121</v>
      </c>
    </row>
    <row r="5" spans="1:3" x14ac:dyDescent="0.25">
      <c r="B5" s="8" t="s">
        <v>115</v>
      </c>
      <c r="C5" t="b">
        <f>IF(COUNTA(Sample_Input!B4:B7)=4, TRUE, FALSE)</f>
        <v>1</v>
      </c>
    </row>
    <row r="6" spans="1:3" x14ac:dyDescent="0.25">
      <c r="B6" s="8" t="s">
        <v>116</v>
      </c>
      <c r="C6" t="b">
        <f>IF(COUNTA(Chromatography_Input!B4:B27)=20,TRUE,FALSE)</f>
        <v>1</v>
      </c>
    </row>
    <row r="7" spans="1:3" x14ac:dyDescent="0.25">
      <c r="B7" s="8" t="s">
        <v>117</v>
      </c>
      <c r="C7" t="b">
        <f>IF(COUNTA('Mass Spectrometry_Input'!B4:B20)&gt;13, TRUE, FALSE)</f>
        <v>1</v>
      </c>
    </row>
    <row r="8" spans="1:3" x14ac:dyDescent="0.25">
      <c r="B8" s="8" t="s">
        <v>118</v>
      </c>
      <c r="C8" t="b">
        <f>IF(COUNTA('QC Method_Input'!B4:B8)=5, TRUE, FALSE)</f>
        <v>1</v>
      </c>
    </row>
    <row r="9" spans="1:3" x14ac:dyDescent="0.25">
      <c r="B9" s="8" t="s">
        <v>119</v>
      </c>
      <c r="C9" t="b">
        <f>IF(COUNTA(Peaks_Input!A4:G1048576) = 0, FALSE, IF(COUNTA(Peaks_Input!A4:G1048576)/7 = COUNTA(Peaks_Input!A4:A1048576),TRUE,FALSE))</f>
        <v>1</v>
      </c>
    </row>
    <row r="11" spans="1:3" x14ac:dyDescent="0.25">
      <c r="A11" s="1" t="s">
        <v>147</v>
      </c>
    </row>
    <row r="12" spans="1:3" x14ac:dyDescent="0.25">
      <c r="B12" t="s">
        <v>149</v>
      </c>
      <c r="C12" t="b">
        <v>1</v>
      </c>
    </row>
    <row r="14" spans="1:3" x14ac:dyDescent="0.25">
      <c r="A14" s="1" t="s">
        <v>146</v>
      </c>
    </row>
    <row r="17" spans="1:2" x14ac:dyDescent="0.25">
      <c r="A17" s="1" t="s">
        <v>148</v>
      </c>
    </row>
    <row r="18" spans="1:2" x14ac:dyDescent="0.25">
      <c r="B18" t="s">
        <v>122</v>
      </c>
    </row>
  </sheetData>
  <sheetProtection sheet="1" objects="1" scenarios="1"/>
  <protectedRanges>
    <protectedRange sqref="C12" name="tables"/>
  </protectedRanges>
  <conditionalFormatting sqref="C5">
    <cfRule type="cellIs" dxfId="5" priority="5" operator="equal">
      <formula>FALSE</formula>
    </cfRule>
    <cfRule type="containsText" dxfId="4" priority="11" operator="containsText" text="TRUE">
      <formula>NOT(ISERROR(SEARCH("TRUE",C5)))</formula>
    </cfRule>
  </conditionalFormatting>
  <conditionalFormatting sqref="C6:C9">
    <cfRule type="cellIs" dxfId="3" priority="3" operator="equal">
      <formula>FALSE</formula>
    </cfRule>
    <cfRule type="containsText" dxfId="2" priority="4" operator="containsText" text="TRUE">
      <formula>NOT(ISERROR(SEARCH("TRUE",C6)))</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XML">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D7"/>
  <sheetViews>
    <sheetView workbookViewId="0">
      <selection activeCell="I5" sqref="I5"/>
    </sheetView>
  </sheetViews>
  <sheetFormatPr defaultRowHeight="15" x14ac:dyDescent="0.25"/>
  <cols>
    <col min="1" max="1" width="22.85546875" bestFit="1" customWidth="1"/>
    <col min="2" max="2" width="25.85546875" style="3" bestFit="1" customWidth="1"/>
    <col min="3" max="3" width="23.85546875" style="3" customWidth="1"/>
    <col min="4" max="4" width="12.28515625" bestFit="1" customWidth="1"/>
  </cols>
  <sheetData>
    <row r="1" spans="1:4" ht="18.75" x14ac:dyDescent="0.3">
      <c r="A1" s="2" t="s">
        <v>66</v>
      </c>
    </row>
    <row r="2" spans="1:4" x14ac:dyDescent="0.25">
      <c r="A2" s="1" t="s">
        <v>6</v>
      </c>
    </row>
    <row r="3" spans="1:4" x14ac:dyDescent="0.25">
      <c r="A3" s="1" t="s">
        <v>4</v>
      </c>
      <c r="B3" s="4" t="s">
        <v>3</v>
      </c>
      <c r="C3" s="4"/>
      <c r="D3" s="1" t="s">
        <v>160</v>
      </c>
    </row>
    <row r="4" spans="1:4" x14ac:dyDescent="0.25">
      <c r="A4" t="s">
        <v>67</v>
      </c>
      <c r="B4" s="11" t="s">
        <v>212</v>
      </c>
      <c r="D4" t="s">
        <v>69</v>
      </c>
    </row>
    <row r="5" spans="1:4" x14ac:dyDescent="0.25">
      <c r="A5" t="s">
        <v>68</v>
      </c>
      <c r="B5" s="11" t="s">
        <v>228</v>
      </c>
      <c r="D5" t="s">
        <v>70</v>
      </c>
    </row>
    <row r="6" spans="1:4" x14ac:dyDescent="0.25">
      <c r="A6" t="s">
        <v>71</v>
      </c>
      <c r="B6" s="11" t="s">
        <v>83</v>
      </c>
      <c r="D6" t="s">
        <v>72</v>
      </c>
    </row>
    <row r="7" spans="1:4" x14ac:dyDescent="0.25">
      <c r="A7" t="s">
        <v>263</v>
      </c>
      <c r="B7" s="12" t="s">
        <v>264</v>
      </c>
      <c r="D7" t="s">
        <v>77</v>
      </c>
    </row>
  </sheetData>
  <sheetProtection sheet="1" objects="1" scenarios="1"/>
  <protectedRanges>
    <protectedRange sqref="B4:B7" name="sample"/>
  </protectedRanges>
  <dataValidations count="7">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sqref="B4" xr:uid="{4B1BDAF7-63A2-4648-B455-63E26C5E9DD5}"/>
    <dataValidation allowBlank="1" showInputMessage="1" showErrorMessage="1" promptTitle="Sample name" prompt="User description of the sample, no restrictions on input." sqref="B5" xr:uid="{074476FB-D785-41DB-B232-D3EA1F15A451}"/>
    <dataValidation allowBlank="1" showInputMessage="1" showErrorMessage="1" promptTitle="Submitter By" prompt="Unique identifier for user and/or laboratory that submits the data. Typically user email." sqref="B7" xr:uid="{12BC8847-2E6D-4EE8-9F04-98692FD1CB4C}"/>
  </dataValidations>
  <hyperlinks>
    <hyperlink ref="B7" r:id="rId1" xr:uid="{CB6F0068-D45B-4233-92FF-7DB497609F92}"/>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A4E15227-017E-442D-AB79-07703094E1C1}">
          <x14:formula1>
            <xm:f>Input_Validation!$A$2:$A$15</xm:f>
          </x14:formula1>
          <xm:sqref>B6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7"/>
  <sheetViews>
    <sheetView workbookViewId="0">
      <selection activeCell="B4" sqref="B4"/>
    </sheetView>
  </sheetViews>
  <sheetFormatPr defaultRowHeight="15" x14ac:dyDescent="0.25"/>
  <cols>
    <col min="1" max="1" width="47.85546875" bestFit="1" customWidth="1"/>
    <col min="2" max="2" width="23" style="3" customWidth="1"/>
    <col min="3" max="3" width="22.28515625" style="3" customWidth="1"/>
    <col min="4" max="4" width="14.7109375" bestFit="1" customWidth="1"/>
  </cols>
  <sheetData>
    <row r="1" spans="1:6" ht="18.75" x14ac:dyDescent="0.3">
      <c r="A1" s="2" t="s">
        <v>0</v>
      </c>
    </row>
    <row r="2" spans="1:6" x14ac:dyDescent="0.25">
      <c r="A2" s="1" t="s">
        <v>6</v>
      </c>
    </row>
    <row r="3" spans="1:6" x14ac:dyDescent="0.25">
      <c r="A3" s="1" t="s">
        <v>4</v>
      </c>
      <c r="B3" s="4" t="s">
        <v>3</v>
      </c>
      <c r="C3" s="4"/>
      <c r="D3" s="1" t="s">
        <v>160</v>
      </c>
    </row>
    <row r="4" spans="1:6" x14ac:dyDescent="0.25">
      <c r="A4" t="s">
        <v>5</v>
      </c>
      <c r="B4" s="11" t="s">
        <v>92</v>
      </c>
      <c r="D4" t="s">
        <v>163</v>
      </c>
    </row>
    <row r="5" spans="1:6" x14ac:dyDescent="0.25">
      <c r="A5" t="s">
        <v>30</v>
      </c>
      <c r="B5" s="11" t="s">
        <v>7</v>
      </c>
      <c r="D5" t="s">
        <v>32</v>
      </c>
    </row>
    <row r="6" spans="1:6" x14ac:dyDescent="0.25">
      <c r="A6" t="s">
        <v>161</v>
      </c>
      <c r="B6" s="11" t="s">
        <v>213</v>
      </c>
      <c r="D6" t="s">
        <v>162</v>
      </c>
    </row>
    <row r="7" spans="1:6" x14ac:dyDescent="0.25">
      <c r="A7" t="s">
        <v>150</v>
      </c>
      <c r="B7" s="11" t="s">
        <v>109</v>
      </c>
      <c r="D7" t="s">
        <v>151</v>
      </c>
    </row>
    <row r="8" spans="1:6" x14ac:dyDescent="0.25">
      <c r="A8" t="s">
        <v>1</v>
      </c>
      <c r="B8" s="11" t="s">
        <v>109</v>
      </c>
      <c r="D8" t="s">
        <v>16</v>
      </c>
    </row>
    <row r="9" spans="1:6" x14ac:dyDescent="0.25">
      <c r="A9" t="s">
        <v>2</v>
      </c>
      <c r="B9" s="11" t="s">
        <v>104</v>
      </c>
      <c r="D9" t="s">
        <v>17</v>
      </c>
    </row>
    <row r="10" spans="1:6" x14ac:dyDescent="0.25">
      <c r="A10" t="s">
        <v>8</v>
      </c>
      <c r="B10" s="11" t="s">
        <v>109</v>
      </c>
      <c r="D10" t="s">
        <v>164</v>
      </c>
    </row>
    <row r="11" spans="1:6" x14ac:dyDescent="0.25">
      <c r="A11" t="s">
        <v>9</v>
      </c>
      <c r="B11" s="11" t="s">
        <v>104</v>
      </c>
      <c r="D11" t="s">
        <v>18</v>
      </c>
      <c r="F11" s="6"/>
    </row>
    <row r="12" spans="1:6" x14ac:dyDescent="0.25">
      <c r="A12" t="s">
        <v>10</v>
      </c>
      <c r="B12" s="11" t="s">
        <v>14</v>
      </c>
      <c r="D12" t="s">
        <v>19</v>
      </c>
    </row>
    <row r="13" spans="1:6" x14ac:dyDescent="0.25">
      <c r="A13" t="s">
        <v>11</v>
      </c>
      <c r="B13" s="11" t="s">
        <v>14</v>
      </c>
      <c r="D13" t="s">
        <v>20</v>
      </c>
    </row>
    <row r="14" spans="1:6" x14ac:dyDescent="0.25">
      <c r="A14" t="s">
        <v>12</v>
      </c>
      <c r="B14" s="11" t="s">
        <v>14</v>
      </c>
      <c r="D14" t="s">
        <v>21</v>
      </c>
    </row>
    <row r="15" spans="1:6" x14ac:dyDescent="0.25">
      <c r="A15" t="s">
        <v>13</v>
      </c>
      <c r="B15" s="11" t="s">
        <v>14</v>
      </c>
      <c r="D15" t="s">
        <v>22</v>
      </c>
    </row>
    <row r="16" spans="1:6" x14ac:dyDescent="0.25">
      <c r="A16" t="s">
        <v>198</v>
      </c>
      <c r="B16" s="11" t="s">
        <v>31</v>
      </c>
      <c r="D16" t="s">
        <v>167</v>
      </c>
    </row>
    <row r="17" spans="1:4" x14ac:dyDescent="0.25">
      <c r="A17" t="s">
        <v>204</v>
      </c>
      <c r="B17" s="11" t="s">
        <v>214</v>
      </c>
      <c r="D17" t="s">
        <v>23</v>
      </c>
    </row>
    <row r="18" spans="1:4" x14ac:dyDescent="0.25">
      <c r="A18" t="s">
        <v>199</v>
      </c>
      <c r="B18" s="11" t="s">
        <v>215</v>
      </c>
      <c r="D18" t="s">
        <v>25</v>
      </c>
    </row>
    <row r="19" spans="1:4" x14ac:dyDescent="0.25">
      <c r="A19" t="s">
        <v>200</v>
      </c>
      <c r="B19" s="11">
        <v>2.1</v>
      </c>
      <c r="D19" t="s">
        <v>26</v>
      </c>
    </row>
    <row r="20" spans="1:4" x14ac:dyDescent="0.25">
      <c r="A20" t="s">
        <v>201</v>
      </c>
      <c r="B20" s="11">
        <v>150</v>
      </c>
      <c r="D20" t="s">
        <v>27</v>
      </c>
    </row>
    <row r="21" spans="1:4" x14ac:dyDescent="0.25">
      <c r="A21" t="s">
        <v>202</v>
      </c>
      <c r="B21" s="11">
        <v>1.8</v>
      </c>
      <c r="D21" t="s">
        <v>28</v>
      </c>
    </row>
    <row r="22" spans="1:4" x14ac:dyDescent="0.25">
      <c r="A22" t="s">
        <v>165</v>
      </c>
      <c r="B22" s="3" t="s">
        <v>14</v>
      </c>
      <c r="D22" t="s">
        <v>166</v>
      </c>
    </row>
    <row r="23" spans="1:4" x14ac:dyDescent="0.25">
      <c r="A23" t="s">
        <v>203</v>
      </c>
      <c r="D23" t="s">
        <v>170</v>
      </c>
    </row>
    <row r="24" spans="1:4" x14ac:dyDescent="0.25">
      <c r="A24" t="s">
        <v>168</v>
      </c>
      <c r="B24" s="3" t="s">
        <v>14</v>
      </c>
      <c r="D24" t="s">
        <v>169</v>
      </c>
    </row>
    <row r="25" spans="1:4" x14ac:dyDescent="0.25">
      <c r="A25" t="s">
        <v>191</v>
      </c>
      <c r="D25" t="s">
        <v>194</v>
      </c>
    </row>
    <row r="26" spans="1:4" x14ac:dyDescent="0.25">
      <c r="A26" t="s">
        <v>192</v>
      </c>
      <c r="D26" t="s">
        <v>195</v>
      </c>
    </row>
    <row r="27" spans="1:4" x14ac:dyDescent="0.25">
      <c r="A27" t="s">
        <v>193</v>
      </c>
      <c r="D27" t="s">
        <v>196</v>
      </c>
    </row>
  </sheetData>
  <sheetProtection sheet="1" objects="1" scenarios="1"/>
  <protectedRanges>
    <protectedRange sqref="B4:B27" name="chromatography"/>
  </protectedRanges>
  <dataValidations count="27">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 xr:uid="{AD1A6E9A-9935-4225-BF2B-8DC9BF9171F5}"/>
    <dataValidation allowBlank="1" showErrorMessage="1" promptTitle="Chromatography Column Vendor" sqref="A16" xr:uid="{09015A4C-A8B3-4325-AE84-70762CABAFD2}"/>
    <dataValidation allowBlank="1" showErrorMessage="1" promptTitle="Name of Chromatography Column" sqref="A17" xr:uid="{D8FEE04C-0AC4-42FF-B7CE-A8EE838E5966}"/>
    <dataValidation allowBlank="1" showErrorMessage="1" promptTitle="Column phase" sqref="A18" xr:uid="{46321A32-1616-4D08-A185-2687955DC0DA}"/>
    <dataValidation allowBlank="1" showErrorMessage="1" promptTitle="Column Inner Diameter" sqref="A19" xr:uid="{6172C91F-25E6-4960-98C9-84AE9AA491AB}"/>
    <dataValidation allowBlank="1" showInputMessage="1" showErrorMessage="1" promptTitle="Column Length" sqref="A20" xr:uid="{5057E367-42B7-4882-AC35-2181FF17E8B7}"/>
    <dataValidation allowBlank="1" showErrorMessage="1" promptTitle="Particle Diameter/Film Thickness" prompt="." sqref="A21"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19"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0"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1"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17"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7"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23"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25"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6" xr:uid="{A556613B-B223-4F39-9307-76B27D7A8D1A}">
      <formula1>0</formula1>
      <formula2>500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5">
        <x14:dataValidation type="list" showInputMessage="1" showErrorMessage="1" promptTitle="Chromatography Type" prompt="Type of Chromatography used for method." xr:uid="{9311FB33-49DB-44BD-A094-E7622D07CDC9}">
          <x14:formula1>
            <xm:f>Input_Validation!$B$2:$B$5</xm:f>
          </x14:formula1>
          <xm:sqref>B4</xm:sqref>
        </x14:dataValidation>
        <x14:dataValidation type="list" allowBlank="1" showInputMessage="1" showErrorMessage="1" promptTitle="Vendor" prompt="Vendor/Manufacturer of the chromatograph used" xr:uid="{29D12A2E-DA82-4046-9B22-148D237AE686}">
          <x14:formula1>
            <xm:f>Input_Validation!$C$2:$C$8</xm:f>
          </x14:formula1>
          <xm:sqref>B5</xm:sqref>
        </x14:dataValidation>
        <x14:dataValidation type="list" allowBlank="1" showInputMessage="1" showErrorMessage="1" promptTitle="Mobile Phase 4 Solvent" prompt="The primary solvent component (&gt;= 50 %)of the chromatography mobile phase 4 (mobile phase D). Use 'none' if using GC or no chromatography." xr:uid="{6AE99EE7-85EF-48FD-A728-AEAB7AD4977A}">
          <x14:formula1>
            <xm:f>Input_Validation!$D$2:$D$10</xm:f>
          </x14:formula1>
          <xm:sqref>B14</xm:sqref>
        </x14:dataValidation>
        <x14:dataValidation type="list" allowBlank="1" showInputMessage="1" showErrorMessage="1" promptTitle="Mobile Phase 4 Additive" prompt="The primary buffer/acid/base additive used in mobile phase 4 (mobile phase D)" xr:uid="{B7D6AF27-8908-4CF2-8047-402C9F9C2657}">
          <x14:formula1>
            <xm:f>Input_Validation!$E$2:$E$8</xm:f>
          </x14:formula1>
          <xm:sqref>B15</xm:sqref>
        </x14:dataValidation>
        <x14:dataValidation type="list" allowBlank="1" showInputMessage="1" showErrorMessage="1" promptTitle="Analytical Column Vendor" prompt="Vendor/Manufacturer of the analytical column" xr:uid="{431EC0AB-86BC-478F-98A2-3E3D6276A257}">
          <x14:formula1>
            <xm:f>Input_Validation!$F$2:$F$9</xm:f>
          </x14:formula1>
          <xm:sqref>B16</xm:sqref>
        </x14:dataValidation>
        <x14:dataValidation type="list" allowBlank="1" showInputMessage="1" showErrorMessage="1" promptTitle="Column Phase" prompt="Stationary phase chemistry/ligand of the chromatography column" xr:uid="{80A6C499-54C2-48AD-A17B-4683DD0D6C80}">
          <x14:formula1>
            <xm:f>Input_Validation!$G$2:$G$10</xm:f>
          </x14:formula1>
          <xm:sqref>B18</xm:sqref>
        </x14:dataValidation>
        <x14:dataValidation type="list" allowBlank="1" showInputMessage="1" showErrorMessage="1" promptTitle="Sample Solvent" prompt="Primary solvent consistuent of the sample, as injected." xr:uid="{92920B20-62E2-48A1-A5CA-97AF65EB0D87}">
          <x14:formula1>
            <xm:f>Input_Validation!$D$2:$D$10</xm:f>
          </x14:formula1>
          <xm:sqref>B7</xm:sqref>
        </x14:dataValidation>
        <x14:dataValidation type="list" allowBlank="1" showInputMessage="1" showErrorMessage="1" promptTitle="Mobile Phase 1 Solvent" prompt="The primary solvent component (&gt;= 50 %)of the chromatography mobile phase 1 (mobile phase A). Use 'none' if using GC or no chromatography." xr:uid="{1175741F-071A-4C89-B80A-7B34A57C94C6}">
          <x14:formula1>
            <xm:f>Input_Validation!$D$2:$D$10</xm:f>
          </x14:formula1>
          <xm:sqref>B8</xm:sqref>
        </x14:dataValidation>
        <x14:dataValidation type="list" allowBlank="1" showInputMessage="1" showErrorMessage="1" promptTitle="Mobile Phase 1 Additive" prompt="The primary buffer/acid/base additive used in mobile phase 1 (mobile phase A)" xr:uid="{D1C1479A-1363-4DCB-8DDE-36CE13FED69D}">
          <x14:formula1>
            <xm:f>Input_Validation!$E$2:$E$8</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2A602AF6-DE91-4BC8-89D5-0C28B0BF3853}">
          <x14:formula1>
            <xm:f>Input_Validation!$D$2:$D$10</xm:f>
          </x14:formula1>
          <xm:sqref>B10</xm:sqref>
        </x14:dataValidation>
        <x14:dataValidation type="list" allowBlank="1" showInputMessage="1" showErrorMessage="1" promptTitle="Mobile Phase 3 Solvent" prompt="The primary solvent component (&gt;= 50 %)of the chromatography mobile phase 3 (mobile phase C). Use 'none' if using GC or no chromatography." xr:uid="{D5020F13-014F-4448-90B2-14EF94E985F6}">
          <x14:formula1>
            <xm:f>Input_Validation!$D$2:$D$10</xm:f>
          </x14:formula1>
          <xm:sqref>B12</xm:sqref>
        </x14:dataValidation>
        <x14:dataValidation type="list" allowBlank="1" showInputMessage="1" showErrorMessage="1" promptTitle="Mobile Phase 3 Additive" prompt="The primary buffer/acid/base additive used in mobile phase 3 (mobile phase C)" xr:uid="{6D5DCCC1-7A3F-4F9F-A542-5C2477B786CC}">
          <x14:formula1>
            <xm:f>Input_Validation!$E$2:$E$8</xm:f>
          </x14:formula1>
          <xm:sqref>B13</xm:sqref>
        </x14:dataValidation>
        <x14:dataValidation type="list" allowBlank="1" showInputMessage="1" showErrorMessage="1" promptTitle="Guard Column Vendor" prompt="Vendor/Manufacturer of the guard column, use &quot;none&quot; if not used." xr:uid="{B40DD21D-3E11-48F4-92D5-A84FD64CFC4F}">
          <x14:formula1>
            <xm:f>Input_Validation!$H$2:$H$10</xm:f>
          </x14:formula1>
          <xm:sqref>B22</xm:sqref>
        </x14:dataValidation>
        <x14:dataValidation type="list" allowBlank="1" showInputMessage="1" showErrorMessage="1" promptTitle="Column Phase" prompt="Stationary phase chemistry/ligand of the chromatography column, use 'none' if not used." xr:uid="{0501D552-90E0-4EB4-B750-7CCA8BFA05F1}">
          <x14:formula1>
            <xm:f>Input_Validation!$I$2:$I$10</xm:f>
          </x14:formula1>
          <xm:sqref>B24</xm:sqref>
        </x14:dataValidation>
        <x14:dataValidation type="list" allowBlank="1" showInputMessage="1" showErrorMessage="1" promptTitle="Mobile Phase 2 Additive" prompt="The primary buffer/acid/base additive used in mobile phase 2 (mobile phase B)" xr:uid="{321EAF13-642D-4895-AB23-FA3F33720C3A}">
          <x14:formula1>
            <xm:f>Input_Validation!$E$2:$E$1048576</xm:f>
          </x14:formula1>
          <xm:sqref>B11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D20"/>
  <sheetViews>
    <sheetView workbookViewId="0">
      <selection activeCell="B20" sqref="B20"/>
    </sheetView>
  </sheetViews>
  <sheetFormatPr defaultRowHeight="15" x14ac:dyDescent="0.25"/>
  <cols>
    <col min="1" max="1" width="34.5703125" bestFit="1" customWidth="1"/>
    <col min="2" max="2" width="38.7109375" style="3" bestFit="1" customWidth="1"/>
    <col min="3" max="3" width="22.28515625" style="3" customWidth="1"/>
    <col min="4" max="4" width="14" bestFit="1" customWidth="1"/>
  </cols>
  <sheetData>
    <row r="1" spans="1:4" ht="18.75" x14ac:dyDescent="0.3">
      <c r="A1" s="2" t="s">
        <v>33</v>
      </c>
    </row>
    <row r="2" spans="1:4" x14ac:dyDescent="0.25">
      <c r="A2" s="1" t="s">
        <v>6</v>
      </c>
    </row>
    <row r="3" spans="1:4" x14ac:dyDescent="0.25">
      <c r="A3" s="1" t="s">
        <v>4</v>
      </c>
      <c r="B3" s="4" t="s">
        <v>3</v>
      </c>
      <c r="C3" s="4"/>
      <c r="D3" s="1" t="s">
        <v>160</v>
      </c>
    </row>
    <row r="4" spans="1:4" x14ac:dyDescent="0.25">
      <c r="A4" t="s">
        <v>34</v>
      </c>
      <c r="B4" s="11" t="s">
        <v>7</v>
      </c>
      <c r="D4" t="s">
        <v>159</v>
      </c>
    </row>
    <row r="5" spans="1:4" x14ac:dyDescent="0.25">
      <c r="A5" t="s">
        <v>157</v>
      </c>
      <c r="B5" s="11" t="s">
        <v>216</v>
      </c>
      <c r="D5" t="s">
        <v>158</v>
      </c>
    </row>
    <row r="6" spans="1:4" x14ac:dyDescent="0.25">
      <c r="A6" t="s">
        <v>35</v>
      </c>
      <c r="B6" s="11" t="s">
        <v>125</v>
      </c>
      <c r="D6" t="s">
        <v>37</v>
      </c>
    </row>
    <row r="7" spans="1:4" x14ac:dyDescent="0.25">
      <c r="A7" t="s">
        <v>38</v>
      </c>
      <c r="B7" s="11" t="s">
        <v>39</v>
      </c>
      <c r="D7" t="s">
        <v>40</v>
      </c>
    </row>
    <row r="8" spans="1:4" x14ac:dyDescent="0.25">
      <c r="A8" t="s">
        <v>41</v>
      </c>
      <c r="B8" s="11">
        <v>4500</v>
      </c>
      <c r="D8" t="s">
        <v>42</v>
      </c>
    </row>
    <row r="9" spans="1:4" x14ac:dyDescent="0.25">
      <c r="A9" t="s">
        <v>43</v>
      </c>
      <c r="B9" s="11" t="s">
        <v>44</v>
      </c>
      <c r="D9" t="s">
        <v>45</v>
      </c>
    </row>
    <row r="10" spans="1:4" x14ac:dyDescent="0.25">
      <c r="A10" t="s">
        <v>46</v>
      </c>
      <c r="B10" s="11" t="s">
        <v>47</v>
      </c>
      <c r="D10" t="s">
        <v>48</v>
      </c>
    </row>
    <row r="11" spans="1:4" x14ac:dyDescent="0.25">
      <c r="A11" t="s">
        <v>49</v>
      </c>
      <c r="B11" s="11" t="s">
        <v>47</v>
      </c>
      <c r="D11" t="s">
        <v>51</v>
      </c>
    </row>
    <row r="12" spans="1:4" x14ac:dyDescent="0.25">
      <c r="A12" t="s">
        <v>205</v>
      </c>
      <c r="B12" s="11" t="s">
        <v>52</v>
      </c>
      <c r="D12" t="s">
        <v>53</v>
      </c>
    </row>
    <row r="13" spans="1:4" x14ac:dyDescent="0.25">
      <c r="A13" t="s">
        <v>208</v>
      </c>
      <c r="B13" s="11" t="s">
        <v>217</v>
      </c>
      <c r="D13" t="s">
        <v>55</v>
      </c>
    </row>
    <row r="14" spans="1:4" x14ac:dyDescent="0.25">
      <c r="A14" t="s">
        <v>207</v>
      </c>
      <c r="B14" s="11" t="s">
        <v>144</v>
      </c>
      <c r="D14" t="s">
        <v>15</v>
      </c>
    </row>
    <row r="15" spans="1:4" x14ac:dyDescent="0.25">
      <c r="A15" t="s">
        <v>209</v>
      </c>
      <c r="B15" s="11" t="s">
        <v>143</v>
      </c>
      <c r="D15" t="s">
        <v>58</v>
      </c>
    </row>
    <row r="16" spans="1:4" x14ac:dyDescent="0.25">
      <c r="A16" t="s">
        <v>73</v>
      </c>
      <c r="B16" s="11" t="s">
        <v>140</v>
      </c>
      <c r="D16" t="s">
        <v>74</v>
      </c>
    </row>
    <row r="17" spans="1:4" x14ac:dyDescent="0.25">
      <c r="A17" t="s">
        <v>75</v>
      </c>
      <c r="B17" s="11">
        <v>0.5</v>
      </c>
      <c r="D17" t="s">
        <v>76</v>
      </c>
    </row>
    <row r="18" spans="1:4" x14ac:dyDescent="0.25">
      <c r="A18" t="s">
        <v>210</v>
      </c>
      <c r="B18" s="11">
        <v>5</v>
      </c>
      <c r="D18" t="s">
        <v>152</v>
      </c>
    </row>
    <row r="19" spans="1:4" x14ac:dyDescent="0.25">
      <c r="A19" t="s">
        <v>153</v>
      </c>
      <c r="B19" s="11">
        <v>30000</v>
      </c>
      <c r="D19" t="s">
        <v>155</v>
      </c>
    </row>
    <row r="20" spans="1:4" x14ac:dyDescent="0.25">
      <c r="A20" t="s">
        <v>154</v>
      </c>
      <c r="B20" s="11">
        <v>15000</v>
      </c>
      <c r="D20" t="s">
        <v>156</v>
      </c>
    </row>
  </sheetData>
  <sheetProtection sheet="1" objects="1" scenarios="1"/>
  <protectedRanges>
    <protectedRange sqref="B4:B20" name="mass spectrometry"/>
  </protectedRanges>
  <dataValidations count="24">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type="decimal" allowBlank="1" showInputMessage="1" showErrorMessage="1" promptTitle="Voltage/Current" prompt="Voltage/current applied for ionization, use below cell to indicate units." sqref="B8" xr:uid="{35095733-7E26-4C6D-A35B-D0C3E6DFE5CE}">
      <formula1>0</formula1>
      <formula2>10000</formula2>
    </dataValidation>
    <dataValidation allowBlank="1" showErrorMessage="1" promptTitle="Instrument Accuracy" sqref="A18" xr:uid="{F4E86A4B-9A81-44AF-90FF-F25F84A8723D}"/>
    <dataValidation allowBlank="1" showInputMessage="1" showErrorMessage="1" promptTitle="MS1 Resolution" sqref="A19" xr:uid="{77C4FC3E-3DA1-442C-B04D-E44F3BECA3F9}"/>
    <dataValidation allowBlank="1" showErrorMessage="1" promptTitle="MS2 Resolution" prompt="The resolution setting for the MS2 experiment" sqref="A20"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Fragmentation Energy" prompt="Value of the fragmentation or collision energy used in the collision cell, if ranged/stepped separate values with semicolon (;). Indicate units below." sqref="B13" xr:uid="{4C9AA417-D37B-4FA1-BEEE-8C9E1B10486E}"/>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19" xr:uid="{953D9765-1F16-4D83-8DDF-523098792D43}"/>
    <dataValidation allowBlank="1" showInputMessage="1" showErrorMessage="1" prompt="The resolution setting for the MS2 experiment. Leave blank if MS2 was not performed." sqref="B20" xr:uid="{98C99FC3-A7EF-4E00-83E2-E5A682ECE208}"/>
  </dataValidations>
  <pageMargins left="0.7" right="0.7" top="0.75" bottom="0.75" header="0.3" footer="0.3"/>
  <extLst>
    <ext xmlns:x14="http://schemas.microsoft.com/office/spreadsheetml/2009/9/main" uri="{CCE6A557-97BC-4b89-ADB6-D9C93CAAB3DF}">
      <x14:dataValidations xmlns:xm="http://schemas.microsoft.com/office/excel/2006/main" count="10">
        <x14:dataValidation type="list" allowBlank="1" showInputMessage="1" showErrorMessage="1" promptTitle="Polarity" prompt="Polarity of the ionization for the submitted compounds (one ionization polarity per submission)." xr:uid="{330F47BF-6B64-4615-B655-AF90111B38CC}">
          <x14:formula1>
            <xm:f>Input_Validation!$L$2:$L$3</xm:f>
          </x14:formula1>
          <xm:sqref>B7</xm:sqref>
        </x14:dataValidation>
        <x14:dataValidation type="list" allowBlank="1" showInputMessage="1" showErrorMessage="1" promptTitle="MS Vendor" prompt="Vendor/Manufacturer of the mass spectrometer used." xr:uid="{D03EF809-9F0E-463C-969F-9391E077A0CD}">
          <x14:formula1>
            <xm:f>Input_Validation!$J$2:$J$7</xm:f>
          </x14:formula1>
          <xm:sqref>B4</xm:sqref>
        </x14:dataValidation>
        <x14:dataValidation type="list" allowBlank="1" showInputMessage="1" showErrorMessage="1" promptTitle="Ionization Mode" prompt="Mode of ionization of the mass spectrometer." xr:uid="{F649D416-F51F-45E1-986B-64AF9B9D743C}">
          <x14:formula1>
            <xm:f>Input_Validation!$K$2:$K$6</xm:f>
          </x14:formula1>
          <xm:sqref>B6</xm:sqref>
        </x14:dataValidation>
        <x14:dataValidation type="list" allowBlank="1" showInputMessage="1" showErrorMessage="1" promptTitle="Voltage/Current units" prompt="Units for the above-noted ionization voltage or current." xr:uid="{BEA77C32-33A9-4B84-AF93-6D37403A3FE8}">
          <x14:formula1>
            <xm:f>Input_Validation!$M$2:$M$6</xm:f>
          </x14:formula1>
          <xm:sqref>B9</xm:sqref>
        </x14:dataValidation>
        <x14:dataValidation type="list" allowBlank="1" showInputMessage="1" showErrorMessage="1" promptTitle="Second Mass Analyzer" prompt="Last mass analyzer in the mass spectrometer. Use 'none' if only one mass analyzer was used." xr:uid="{10274ED4-512F-459F-9E10-35A9CBE99FA9}">
          <x14:formula1>
            <xm:f>Input_Validation!$N$2:$N$8</xm:f>
          </x14:formula1>
          <xm:sqref>B11</xm:sqref>
        </x14:dataValidation>
        <x14:dataValidation type="list" allowBlank="1" showInputMessage="1" showErrorMessage="1" promptTitle="First Mass Analyzer" prompt="First mass analyzer in the mass spectrometer." xr:uid="{7B8A84FF-C74C-4820-B1EE-D6D26356737B}">
          <x14:formula1>
            <xm:f>Input_Validation!$N$3:$N$8</xm:f>
          </x14:formula1>
          <xm:sqref>B10</xm:sqref>
        </x14:dataValidation>
        <x14:dataValidation type="list" allowBlank="1" showInputMessage="1" showErrorMessage="1" promptTitle="Fragmentation Type" prompt="Type of fragmentation (or collisional dissociation) used for the generation of fragments." xr:uid="{592DEA97-875F-4FA3-BFE4-0F7F320D1FB8}">
          <x14:formula1>
            <xm:f>Input_Validation!$O$2:$O$5</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B4F92911-12A9-4597-8E45-92CD19A05BB9}">
          <x14:formula1>
            <xm:f>Input_Validation!$P$2:$P$3</xm:f>
          </x14:formula1>
          <xm:sqref>B14</xm:sqref>
        </x14:dataValidation>
        <x14:dataValidation type="list" allowBlank="1" showInputMessage="1" showErrorMessage="1" promptTitle="Fragmentation energy units." prompt="Units of the fragmentation/collision energy value above." xr:uid="{1DA3AEE0-3A29-4C5B-B0C2-34D75E993A53}">
          <x14:formula1>
            <xm:f>Input_Validation!$Q$2:$Q$3</xm:f>
          </x14:formula1>
          <xm:sqref>B15</xm:sqref>
        </x14:dataValidation>
        <x14:dataValidation type="list" allowBlank="1" showInputMessage="1" showErrorMessage="1" promptTitle="MS2 Experiment" prompt="Type of fragmentation (MS2) experiment._x000a_Data Dependent Analysis (DDA), also called TopN_x000a_SWATH - Sequential Windows of All Theoretical Mass Spectra_x000a_Data Independent Analysis (DIA), also called All Ion Fragmentation (AIF), MSe. Use 'none' for in-source frag" xr:uid="{31572AAB-ACBB-439E-B48A-B9225FC1F34C}">
          <x14:formula1>
            <xm:f>Input_Validation!$R$2:$R$5</xm:f>
          </x14:formula1>
          <xm:sqref>B16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D8"/>
  <sheetViews>
    <sheetView workbookViewId="0">
      <selection activeCell="D20" sqref="D20"/>
    </sheetView>
  </sheetViews>
  <sheetFormatPr defaultRowHeight="15" x14ac:dyDescent="0.25"/>
  <cols>
    <col min="1" max="1" width="28" bestFit="1" customWidth="1"/>
    <col min="2" max="2" width="22.28515625" style="3" bestFit="1" customWidth="1"/>
    <col min="3" max="3" width="22.28515625" style="3" customWidth="1"/>
    <col min="4" max="4" width="14.5703125" bestFit="1" customWidth="1"/>
  </cols>
  <sheetData>
    <row r="1" spans="1:4" ht="18.75" x14ac:dyDescent="0.3">
      <c r="A1" s="2" t="s">
        <v>65</v>
      </c>
    </row>
    <row r="2" spans="1:4" x14ac:dyDescent="0.25">
      <c r="A2" s="1" t="s">
        <v>6</v>
      </c>
    </row>
    <row r="3" spans="1:4" x14ac:dyDescent="0.25">
      <c r="A3" s="1" t="s">
        <v>4</v>
      </c>
      <c r="B3" s="4" t="s">
        <v>3</v>
      </c>
      <c r="C3" s="4"/>
      <c r="D3" s="1" t="s">
        <v>160</v>
      </c>
    </row>
    <row r="4" spans="1:4" x14ac:dyDescent="0.25">
      <c r="A4" t="s">
        <v>123</v>
      </c>
      <c r="B4" s="11" t="b">
        <v>1</v>
      </c>
      <c r="D4" t="s">
        <v>59</v>
      </c>
    </row>
    <row r="5" spans="1:4" x14ac:dyDescent="0.25">
      <c r="A5" t="s">
        <v>60</v>
      </c>
      <c r="B5" s="11" t="b">
        <v>1</v>
      </c>
      <c r="D5" t="s">
        <v>64</v>
      </c>
    </row>
    <row r="6" spans="1:4" x14ac:dyDescent="0.25">
      <c r="A6" t="s">
        <v>61</v>
      </c>
      <c r="B6" s="11" t="b">
        <v>1</v>
      </c>
      <c r="D6" t="s">
        <v>64</v>
      </c>
    </row>
    <row r="7" spans="1:4" x14ac:dyDescent="0.25">
      <c r="A7" t="s">
        <v>62</v>
      </c>
      <c r="B7" s="11" t="b">
        <v>0</v>
      </c>
      <c r="D7" t="s">
        <v>64</v>
      </c>
    </row>
    <row r="8" spans="1:4" x14ac:dyDescent="0.25">
      <c r="A8" t="s">
        <v>63</v>
      </c>
      <c r="B8" s="11" t="b">
        <v>0</v>
      </c>
      <c r="D8" t="s">
        <v>64</v>
      </c>
    </row>
  </sheetData>
  <sheetProtection sheet="1" objects="1" scenarios="1"/>
  <protectedRanges>
    <protectedRange sqref="B4:B8" name="qc method"/>
  </protectedRanges>
  <dataValidations count="10">
    <dataValidation type="list" allowBlank="1" showInputMessage="1" showErrorMessage="1" promptTitle="Matrix Standard Verification" prompt="Was the performance of the method verified using matrix-matched solution containing known chemicals (not spiked)?" sqref="B8" xr:uid="{56E8DC6E-BF2D-427C-9732-764A5A97AB1E}">
      <formula1>"TRUE,FALSE"</formula1>
    </dataValidation>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 type="list" allowBlank="1" showInputMessage="1" showErrorMessage="1" promptTitle="Was a QA/QC Method Used" prompt="During the collection of the submitted data, did the user apply a quality assurance or quality control protocol?" sqref="B4" xr:uid="{4B993926-5894-4FA1-B23B-CB2946449F44}">
      <formula1>"TRUE,FALSE"</formula1>
    </dataValidation>
    <dataValidation type="list" allowBlank="1" showInputMessage="1" showErrorMessage="1" promptTitle="Mass Analyzer Calibration" prompt="Was the mass analyzer (quadrupole, orbitrap, time-of-flight, ion trap, etc.) calibrated and within performance requirements prior to analysis?" sqref="B5" xr:uid="{C7140E64-1754-451F-B9CD-D37FBB3C4DAE}">
      <formula1>"TRUE,FALSE"</formula1>
    </dataValidation>
    <dataValidation type="list" allowBlank="1" showInputMessage="1" showErrorMessage="1" promptTitle="External Standard Verification" prompt="Was the performance of the method verified using chemical standards spiked in a blank solvent (non-matrix) solution?" sqref="B6" xr:uid="{8F5CF63C-F649-4255-A76E-B438F065EC55}">
      <formula1>"TRUE,FALSE"</formula1>
    </dataValidation>
    <dataValidation type="list" allowBlank="1" showInputMessage="1" showErrorMessage="1" promptTitle="Internal Standard Verification" prompt="Was the performance of the method verified using chemical standards spiked into the sample solutions?" sqref="B7" xr:uid="{A1821805-2D5B-4FE8-B58D-F425FA89F8D5}">
      <formula1>"TRUE,FALSE"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13"/>
  <sheetViews>
    <sheetView workbookViewId="0">
      <selection activeCell="K6" sqref="K6"/>
    </sheetView>
  </sheetViews>
  <sheetFormatPr defaultRowHeight="15" x14ac:dyDescent="0.25"/>
  <cols>
    <col min="1" max="1" width="24" bestFit="1" customWidth="1"/>
    <col min="2" max="2" width="16.85546875" style="10" customWidth="1"/>
    <col min="3" max="3" width="8.85546875" style="10" bestFit="1" customWidth="1"/>
    <col min="4" max="4" width="9" bestFit="1" customWidth="1"/>
    <col min="5" max="5" width="6" bestFit="1" customWidth="1"/>
    <col min="6" max="6" width="16.5703125" bestFit="1" customWidth="1"/>
    <col min="7" max="7" width="14.85546875" bestFit="1" customWidth="1"/>
  </cols>
  <sheetData>
    <row r="1" spans="1:8" ht="18.75" x14ac:dyDescent="0.3">
      <c r="A1" s="2" t="s">
        <v>33</v>
      </c>
    </row>
    <row r="2" spans="1:8" x14ac:dyDescent="0.25">
      <c r="A2" s="1" t="s">
        <v>6</v>
      </c>
    </row>
    <row r="3" spans="1:8" x14ac:dyDescent="0.25">
      <c r="A3" s="5" t="s">
        <v>78</v>
      </c>
      <c r="B3" s="9" t="s">
        <v>211</v>
      </c>
      <c r="C3" s="5" t="s">
        <v>265</v>
      </c>
      <c r="D3" s="5" t="s">
        <v>79</v>
      </c>
      <c r="E3" s="5" t="s">
        <v>80</v>
      </c>
      <c r="F3" s="5" t="s">
        <v>81</v>
      </c>
      <c r="G3" s="5" t="s">
        <v>82</v>
      </c>
      <c r="H3" s="5" t="s">
        <v>276</v>
      </c>
    </row>
    <row r="4" spans="1:8" x14ac:dyDescent="0.25">
      <c r="A4" t="s">
        <v>218</v>
      </c>
      <c r="B4">
        <v>2649</v>
      </c>
      <c r="C4" t="s">
        <v>275</v>
      </c>
      <c r="D4">
        <v>212.97919999999999</v>
      </c>
      <c r="E4">
        <v>4.5</v>
      </c>
      <c r="F4">
        <v>4.0999999999999996</v>
      </c>
      <c r="G4">
        <v>4.8</v>
      </c>
      <c r="H4" t="b">
        <v>1</v>
      </c>
    </row>
    <row r="5" spans="1:8" x14ac:dyDescent="0.25">
      <c r="A5" t="s">
        <v>219</v>
      </c>
      <c r="B5">
        <v>2646</v>
      </c>
      <c r="C5" s="13" t="s">
        <v>275</v>
      </c>
      <c r="D5">
        <v>262.976</v>
      </c>
      <c r="E5">
        <v>8.6</v>
      </c>
      <c r="F5">
        <v>8.4</v>
      </c>
      <c r="G5">
        <v>8.9</v>
      </c>
      <c r="H5" t="b">
        <v>0</v>
      </c>
    </row>
    <row r="6" spans="1:8" x14ac:dyDescent="0.25">
      <c r="A6" t="s">
        <v>220</v>
      </c>
      <c r="B6">
        <v>2643</v>
      </c>
      <c r="C6" s="13" t="s">
        <v>275</v>
      </c>
      <c r="D6">
        <v>312.97280000000001</v>
      </c>
      <c r="E6">
        <v>10.8</v>
      </c>
      <c r="F6">
        <v>10.5</v>
      </c>
      <c r="G6">
        <v>11.1</v>
      </c>
      <c r="H6" t="b">
        <v>0</v>
      </c>
    </row>
    <row r="7" spans="1:8" x14ac:dyDescent="0.25">
      <c r="A7" t="s">
        <v>221</v>
      </c>
      <c r="B7">
        <v>2640</v>
      </c>
      <c r="C7" s="13" t="s">
        <v>275</v>
      </c>
      <c r="D7">
        <v>362.96960000000001</v>
      </c>
      <c r="E7">
        <v>12.09</v>
      </c>
      <c r="F7">
        <v>11.9</v>
      </c>
      <c r="G7">
        <v>12.35</v>
      </c>
      <c r="H7" t="b">
        <v>0</v>
      </c>
    </row>
    <row r="8" spans="1:8" x14ac:dyDescent="0.25">
      <c r="A8" t="s">
        <v>222</v>
      </c>
      <c r="B8">
        <v>2637</v>
      </c>
      <c r="C8" s="13" t="s">
        <v>275</v>
      </c>
      <c r="D8">
        <v>412.96640000000002</v>
      </c>
      <c r="E8">
        <v>13.05</v>
      </c>
      <c r="F8">
        <v>12.8</v>
      </c>
      <c r="G8">
        <v>13.3</v>
      </c>
      <c r="H8" t="b">
        <v>1</v>
      </c>
    </row>
    <row r="9" spans="1:8" x14ac:dyDescent="0.25">
      <c r="A9" t="s">
        <v>223</v>
      </c>
      <c r="B9">
        <v>2635</v>
      </c>
      <c r="C9" s="13" t="s">
        <v>275</v>
      </c>
      <c r="D9">
        <v>462.96319999999997</v>
      </c>
      <c r="E9">
        <v>13.8</v>
      </c>
      <c r="F9">
        <v>13.6</v>
      </c>
      <c r="G9">
        <v>14.1</v>
      </c>
      <c r="H9" t="b">
        <v>0</v>
      </c>
    </row>
    <row r="10" spans="1:8" x14ac:dyDescent="0.25">
      <c r="A10" t="s">
        <v>224</v>
      </c>
      <c r="B10">
        <v>2632</v>
      </c>
      <c r="C10" s="13" t="s">
        <v>275</v>
      </c>
      <c r="D10">
        <v>512.96</v>
      </c>
      <c r="E10">
        <v>14.5</v>
      </c>
      <c r="F10">
        <v>14.3</v>
      </c>
      <c r="G10">
        <v>14.8</v>
      </c>
      <c r="H10" t="b">
        <v>0</v>
      </c>
    </row>
    <row r="11" spans="1:8" x14ac:dyDescent="0.25">
      <c r="A11" t="s">
        <v>225</v>
      </c>
      <c r="B11">
        <v>2629</v>
      </c>
      <c r="C11" s="13" t="s">
        <v>275</v>
      </c>
      <c r="D11">
        <v>612.95370000000003</v>
      </c>
      <c r="E11">
        <v>15.6</v>
      </c>
      <c r="F11">
        <v>15.4</v>
      </c>
      <c r="G11">
        <v>15.8</v>
      </c>
      <c r="H11" t="b">
        <v>1</v>
      </c>
    </row>
    <row r="12" spans="1:8" x14ac:dyDescent="0.25">
      <c r="A12" t="s">
        <v>226</v>
      </c>
      <c r="B12">
        <v>2630</v>
      </c>
      <c r="C12" s="13" t="s">
        <v>275</v>
      </c>
      <c r="D12">
        <v>562.95680000000004</v>
      </c>
      <c r="E12">
        <v>15.1</v>
      </c>
      <c r="F12">
        <v>14.9</v>
      </c>
      <c r="G12">
        <v>15.4</v>
      </c>
      <c r="H12" t="b">
        <v>1</v>
      </c>
    </row>
    <row r="13" spans="1:8" x14ac:dyDescent="0.25">
      <c r="A13" t="s">
        <v>227</v>
      </c>
      <c r="B13">
        <v>2628</v>
      </c>
      <c r="C13" s="13" t="s">
        <v>275</v>
      </c>
      <c r="D13">
        <v>662.95050000000003</v>
      </c>
      <c r="E13">
        <v>16</v>
      </c>
      <c r="F13">
        <v>15.8</v>
      </c>
      <c r="G13">
        <v>16.3</v>
      </c>
      <c r="H13" t="b">
        <v>1</v>
      </c>
    </row>
  </sheetData>
  <sheetProtection sheet="1" objects="1" scenarios="1"/>
  <protectedRanges>
    <protectedRange sqref="A4:H1048576" name="peaks"/>
  </protectedRanges>
  <dataValidations count="9">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parent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Compound Verification" prompt="Was the identity of the compound verified by using a chemical standard and comparing the retention time, precursor ion, and/or fragmentation mass spectra?" sqref="H3" xr:uid="{2A92C2A7-746E-4B6F-9C0F-30F03CC2DAA4}"/>
    <dataValidation type="list" allowBlank="1" showInputMessage="1" showErrorMessage="1" sqref="H4:H1048576" xr:uid="{A7E392E9-875C-4E5F-B259-CC77030F7DDF}">
      <formula1>"TRUE,FALSE"</formula1>
    </dataValidation>
  </dataValidations>
  <hyperlinks>
    <hyperlink ref="B3" r:id="rId1" display="identifier" xr:uid="{EA405BE7-5715-47D3-946C-EB2585244009}"/>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1">
        <x14:dataValidation type="list" allowBlank="1" showInputMessage="1" showErrorMessage="1" xr:uid="{FC0D2C2B-F483-4BFD-A544-6F4549ECE9F7}">
          <x14:formula1>
            <xm:f>Input_Validation!$S$2:$S$11</xm:f>
          </x14:formula1>
          <xm:sqref>C4:C1048576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S15"/>
  <sheetViews>
    <sheetView topLeftCell="J1" workbookViewId="0">
      <selection activeCell="Q15" sqref="Q15"/>
    </sheetView>
  </sheetViews>
  <sheetFormatPr defaultRowHeight="15" x14ac:dyDescent="0.25"/>
  <cols>
    <col min="1" max="1" width="32.140625" bestFit="1" customWidth="1"/>
    <col min="2" max="2" width="22.140625" bestFit="1" customWidth="1"/>
    <col min="3" max="3" width="21.28515625" bestFit="1" customWidth="1"/>
    <col min="4" max="4" width="18.7109375" bestFit="1" customWidth="1"/>
    <col min="5" max="5" width="19.85546875" bestFit="1" customWidth="1"/>
    <col min="6" max="6" width="29.28515625" bestFit="1" customWidth="1"/>
    <col min="7" max="7" width="29.28515625" customWidth="1"/>
    <col min="8" max="8" width="29.28515625" bestFit="1" customWidth="1"/>
    <col min="9" max="9" width="29.28515625" customWidth="1"/>
    <col min="10" max="10" width="24.42578125" bestFit="1" customWidth="1"/>
    <col min="11" max="11" width="36.85546875" bestFit="1" customWidth="1"/>
    <col min="13" max="13" width="29" bestFit="1" customWidth="1"/>
    <col min="14" max="14" width="14.42578125" bestFit="1" customWidth="1"/>
    <col min="15" max="15" width="22.85546875" bestFit="1" customWidth="1"/>
    <col min="16" max="16" width="33" bestFit="1" customWidth="1"/>
    <col min="17" max="17" width="33.28515625" bestFit="1" customWidth="1"/>
    <col min="18" max="18" width="14.85546875" bestFit="1" customWidth="1"/>
    <col min="19" max="19" width="11.85546875" bestFit="1" customWidth="1"/>
  </cols>
  <sheetData>
    <row r="1" spans="1:19" x14ac:dyDescent="0.25">
      <c r="A1" t="s">
        <v>71</v>
      </c>
      <c r="B1" t="s">
        <v>5</v>
      </c>
      <c r="C1" t="s">
        <v>30</v>
      </c>
      <c r="D1" t="s">
        <v>101</v>
      </c>
      <c r="E1" t="s">
        <v>102</v>
      </c>
      <c r="F1" t="s">
        <v>29</v>
      </c>
      <c r="G1" t="s">
        <v>24</v>
      </c>
      <c r="H1" t="s">
        <v>165</v>
      </c>
      <c r="I1" t="s">
        <v>24</v>
      </c>
      <c r="J1" t="s">
        <v>34</v>
      </c>
      <c r="K1" t="s">
        <v>35</v>
      </c>
      <c r="L1" t="s">
        <v>38</v>
      </c>
      <c r="M1" t="s">
        <v>43</v>
      </c>
      <c r="N1" t="s">
        <v>134</v>
      </c>
      <c r="O1" t="s">
        <v>54</v>
      </c>
      <c r="P1" t="s">
        <v>56</v>
      </c>
      <c r="Q1" t="s">
        <v>57</v>
      </c>
      <c r="R1" t="s">
        <v>73</v>
      </c>
      <c r="S1" t="s">
        <v>265</v>
      </c>
    </row>
    <row r="2" spans="1:19" x14ac:dyDescent="0.25">
      <c r="A2" t="s">
        <v>83</v>
      </c>
      <c r="B2" t="s">
        <v>92</v>
      </c>
      <c r="C2" t="s">
        <v>7</v>
      </c>
      <c r="D2" t="s">
        <v>14</v>
      </c>
      <c r="E2" t="s">
        <v>14</v>
      </c>
      <c r="F2" t="s">
        <v>7</v>
      </c>
      <c r="G2" t="s">
        <v>14</v>
      </c>
      <c r="H2" t="s">
        <v>14</v>
      </c>
      <c r="I2" t="s">
        <v>14</v>
      </c>
      <c r="J2" t="s">
        <v>7</v>
      </c>
      <c r="K2" t="s">
        <v>36</v>
      </c>
      <c r="L2" t="s">
        <v>129</v>
      </c>
      <c r="M2" t="s">
        <v>44</v>
      </c>
      <c r="N2" t="s">
        <v>14</v>
      </c>
      <c r="O2" t="s">
        <v>52</v>
      </c>
      <c r="P2" t="s">
        <v>144</v>
      </c>
      <c r="Q2" t="s">
        <v>143</v>
      </c>
      <c r="R2" t="s">
        <v>14</v>
      </c>
      <c r="S2" t="s">
        <v>267</v>
      </c>
    </row>
    <row r="3" spans="1:19" x14ac:dyDescent="0.25">
      <c r="A3" t="s">
        <v>84</v>
      </c>
      <c r="B3" t="s">
        <v>93</v>
      </c>
      <c r="C3" t="s">
        <v>31</v>
      </c>
      <c r="D3" t="s">
        <v>103</v>
      </c>
      <c r="E3" t="s">
        <v>104</v>
      </c>
      <c r="F3" t="s">
        <v>31</v>
      </c>
      <c r="G3" t="s">
        <v>176</v>
      </c>
      <c r="H3" t="s">
        <v>7</v>
      </c>
      <c r="I3" t="s">
        <v>176</v>
      </c>
      <c r="J3" t="s">
        <v>31</v>
      </c>
      <c r="K3" t="s">
        <v>125</v>
      </c>
      <c r="L3" t="s">
        <v>39</v>
      </c>
      <c r="M3" t="s">
        <v>130</v>
      </c>
      <c r="N3" t="s">
        <v>47</v>
      </c>
      <c r="O3" t="s">
        <v>138</v>
      </c>
      <c r="P3" t="s">
        <v>145</v>
      </c>
      <c r="Q3" t="s">
        <v>44</v>
      </c>
      <c r="R3" t="s">
        <v>140</v>
      </c>
      <c r="S3" t="s">
        <v>266</v>
      </c>
    </row>
    <row r="4" spans="1:19" x14ac:dyDescent="0.25">
      <c r="A4" t="s">
        <v>85</v>
      </c>
      <c r="B4" t="s">
        <v>94</v>
      </c>
      <c r="C4" t="s">
        <v>96</v>
      </c>
      <c r="D4" t="s">
        <v>107</v>
      </c>
      <c r="E4" t="s">
        <v>106</v>
      </c>
      <c r="F4" t="s">
        <v>96</v>
      </c>
      <c r="G4" t="s">
        <v>177</v>
      </c>
      <c r="H4" t="s">
        <v>31</v>
      </c>
      <c r="I4" t="s">
        <v>177</v>
      </c>
      <c r="J4" t="s">
        <v>96</v>
      </c>
      <c r="K4" t="s">
        <v>126</v>
      </c>
      <c r="M4" t="s">
        <v>131</v>
      </c>
      <c r="N4" t="s">
        <v>135</v>
      </c>
      <c r="O4" t="s">
        <v>139</v>
      </c>
      <c r="R4" t="s">
        <v>142</v>
      </c>
      <c r="S4" t="s">
        <v>268</v>
      </c>
    </row>
    <row r="5" spans="1:19" x14ac:dyDescent="0.25">
      <c r="A5" t="s">
        <v>87</v>
      </c>
      <c r="B5" t="s">
        <v>95</v>
      </c>
      <c r="C5" t="s">
        <v>97</v>
      </c>
      <c r="D5" t="s">
        <v>105</v>
      </c>
      <c r="E5" t="s">
        <v>108</v>
      </c>
      <c r="F5" t="s">
        <v>97</v>
      </c>
      <c r="G5" t="s">
        <v>174</v>
      </c>
      <c r="H5" t="s">
        <v>96</v>
      </c>
      <c r="I5" t="s">
        <v>174</v>
      </c>
      <c r="J5" t="s">
        <v>97</v>
      </c>
      <c r="K5" t="s">
        <v>127</v>
      </c>
      <c r="M5" t="s">
        <v>132</v>
      </c>
      <c r="N5" t="s">
        <v>136</v>
      </c>
      <c r="O5" t="s">
        <v>206</v>
      </c>
      <c r="R5" t="s">
        <v>141</v>
      </c>
      <c r="S5" t="s">
        <v>269</v>
      </c>
    </row>
    <row r="6" spans="1:19" x14ac:dyDescent="0.25">
      <c r="A6" t="s">
        <v>86</v>
      </c>
      <c r="C6" t="s">
        <v>98</v>
      </c>
      <c r="D6" t="s">
        <v>109</v>
      </c>
      <c r="E6" t="s">
        <v>110</v>
      </c>
      <c r="F6" t="s">
        <v>113</v>
      </c>
      <c r="G6" t="s">
        <v>175</v>
      </c>
      <c r="H6" t="s">
        <v>97</v>
      </c>
      <c r="I6" t="s">
        <v>175</v>
      </c>
      <c r="J6" t="s">
        <v>98</v>
      </c>
      <c r="K6" t="s">
        <v>128</v>
      </c>
      <c r="M6" t="s">
        <v>133</v>
      </c>
      <c r="N6" t="s">
        <v>137</v>
      </c>
      <c r="S6" t="s">
        <v>270</v>
      </c>
    </row>
    <row r="7" spans="1:19" x14ac:dyDescent="0.25">
      <c r="A7" t="s">
        <v>88</v>
      </c>
      <c r="C7" t="s">
        <v>99</v>
      </c>
      <c r="D7" t="s">
        <v>185</v>
      </c>
      <c r="E7" t="s">
        <v>111</v>
      </c>
      <c r="F7" t="s">
        <v>171</v>
      </c>
      <c r="G7" t="s">
        <v>182</v>
      </c>
      <c r="H7" t="s">
        <v>113</v>
      </c>
      <c r="I7" t="s">
        <v>182</v>
      </c>
      <c r="J7" t="s">
        <v>99</v>
      </c>
      <c r="N7" t="s">
        <v>50</v>
      </c>
      <c r="S7" t="s">
        <v>271</v>
      </c>
    </row>
    <row r="8" spans="1:19" x14ac:dyDescent="0.25">
      <c r="A8" t="s">
        <v>89</v>
      </c>
      <c r="C8" t="s">
        <v>100</v>
      </c>
      <c r="D8" t="s">
        <v>183</v>
      </c>
      <c r="E8" t="s">
        <v>112</v>
      </c>
      <c r="F8" t="s">
        <v>172</v>
      </c>
      <c r="G8" t="s">
        <v>178</v>
      </c>
      <c r="H8" t="s">
        <v>171</v>
      </c>
      <c r="I8" t="s">
        <v>181</v>
      </c>
      <c r="N8" t="s">
        <v>229</v>
      </c>
      <c r="S8" t="s">
        <v>272</v>
      </c>
    </row>
    <row r="9" spans="1:19" x14ac:dyDescent="0.25">
      <c r="A9" t="s">
        <v>90</v>
      </c>
      <c r="D9" t="s">
        <v>184</v>
      </c>
      <c r="F9" t="s">
        <v>173</v>
      </c>
      <c r="G9" t="s">
        <v>179</v>
      </c>
      <c r="H9" t="s">
        <v>172</v>
      </c>
      <c r="I9" t="s">
        <v>179</v>
      </c>
      <c r="S9" t="s">
        <v>275</v>
      </c>
    </row>
    <row r="10" spans="1:19" x14ac:dyDescent="0.25">
      <c r="A10" t="s">
        <v>91</v>
      </c>
      <c r="D10" t="s">
        <v>197</v>
      </c>
      <c r="G10" t="s">
        <v>180</v>
      </c>
      <c r="H10" t="s">
        <v>173</v>
      </c>
      <c r="I10" t="s">
        <v>180</v>
      </c>
      <c r="S10" t="s">
        <v>273</v>
      </c>
    </row>
    <row r="11" spans="1:19" x14ac:dyDescent="0.25">
      <c r="A11" t="s">
        <v>186</v>
      </c>
      <c r="S11" t="s">
        <v>274</v>
      </c>
    </row>
    <row r="12" spans="1:19" x14ac:dyDescent="0.25">
      <c r="A12" t="s">
        <v>187</v>
      </c>
    </row>
    <row r="13" spans="1:19" x14ac:dyDescent="0.25">
      <c r="A13" t="s">
        <v>188</v>
      </c>
    </row>
    <row r="14" spans="1:19" x14ac:dyDescent="0.25">
      <c r="A14" t="s">
        <v>189</v>
      </c>
    </row>
    <row r="15" spans="1:19" x14ac:dyDescent="0.25">
      <c r="A15" t="s">
        <v>190</v>
      </c>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7703C-8A3D-4EDB-A66F-E463196208E9}">
  <sheetPr codeName="Sheet2"/>
  <dimension ref="A1:E3"/>
  <sheetViews>
    <sheetView workbookViewId="0">
      <selection activeCell="D31" sqref="D31"/>
    </sheetView>
  </sheetViews>
  <sheetFormatPr defaultRowHeight="15" x14ac:dyDescent="0.25"/>
  <cols>
    <col min="1" max="5" width="27.7109375" customWidth="1"/>
  </cols>
  <sheetData>
    <row r="1" spans="1:5" ht="18.75" x14ac:dyDescent="0.3">
      <c r="A1" s="2" t="s">
        <v>230</v>
      </c>
    </row>
    <row r="2" spans="1:5" x14ac:dyDescent="0.25">
      <c r="A2" s="1" t="s">
        <v>6</v>
      </c>
    </row>
    <row r="3" spans="1:5" x14ac:dyDescent="0.25">
      <c r="A3" s="1" t="s">
        <v>231</v>
      </c>
      <c r="B3" s="1" t="s">
        <v>232</v>
      </c>
      <c r="C3" s="1" t="s">
        <v>233</v>
      </c>
      <c r="D3" s="1" t="s">
        <v>234</v>
      </c>
      <c r="E3" s="1" t="s">
        <v>235</v>
      </c>
    </row>
  </sheetData>
  <dataValidations count="5">
    <dataValidation allowBlank="1" showInputMessage="1" showErrorMessage="1" promptTitle="mz" prompt="Measured m/z of the fragment to be annotated" sqref="A3" xr:uid="{F3592158-8777-42BA-AA0F-16512DC181E3}"/>
    <dataValidation allowBlank="1" showInputMessage="1" showErrorMessage="1" promptTitle="Elemental Formula" prompt="The proposed elemental formula for the specific fragment" sqref="B3" xr:uid="{57C7DD24-4455-4DE0-A712-B83842DD041E}"/>
    <dataValidation allowBlank="1" showInputMessage="1" showErrorMessage="1" promptTitle="SMILES" prompt="The proposed fragment structure (in SMILES notation) for the specific fragment, can be empty" sqref="C3" xr:uid="{16204ACB-148C-44E2-98FA-F558BBB7DCF5}"/>
    <dataValidation allowBlank="1" showInputMessage="1" showErrorMessage="1" promptTitle="Radical" prompt="Does the proposed fragment structure contain a radical electron (TRUE, FALSE, UNKNOWN)" sqref="D3" xr:uid="{FB11A7CD-D428-477E-A2ED-0DF76628BEDF}"/>
    <dataValidation allowBlank="1" showInputMessage="1" showErrorMessage="1" promptTitle="Citation" prompt="Reference or other citation (DOI or website) for the evidence of the fragment identification. Enter USER if it is based on user interpretation only." sqref="E3" xr:uid="{BB766D92-1547-4C34-B82E-DCFFC4E9621D}"/>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73E30-3F5C-41E6-8609-C3D04C1A1535}">
  <sheetPr codeName="Sheet9"/>
  <dimension ref="A1:E3"/>
  <sheetViews>
    <sheetView workbookViewId="0"/>
  </sheetViews>
  <sheetFormatPr defaultRowHeight="15" x14ac:dyDescent="0.25"/>
  <cols>
    <col min="1" max="5" width="27.7109375" customWidth="1"/>
  </cols>
  <sheetData>
    <row r="1" spans="1:5" ht="18.75" x14ac:dyDescent="0.3">
      <c r="A1" s="2" t="s">
        <v>236</v>
      </c>
    </row>
    <row r="2" spans="1:5" x14ac:dyDescent="0.25">
      <c r="A2" s="1" t="s">
        <v>6</v>
      </c>
    </row>
    <row r="3" spans="1:5" x14ac:dyDescent="0.25">
      <c r="A3" s="1" t="s">
        <v>231</v>
      </c>
      <c r="B3" s="1" t="s">
        <v>232</v>
      </c>
      <c r="C3" s="1" t="s">
        <v>233</v>
      </c>
      <c r="D3" s="1" t="s">
        <v>234</v>
      </c>
      <c r="E3" s="1" t="s">
        <v>235</v>
      </c>
    </row>
  </sheetData>
  <dataValidations count="5">
    <dataValidation allowBlank="1" showInputMessage="1" showErrorMessage="1" promptTitle="mz" prompt="Measured m/z of the fragment to be annotated" sqref="A3" xr:uid="{72AAB8B1-3F83-455F-8D13-7A70C55BF504}"/>
    <dataValidation allowBlank="1" showInputMessage="1" showErrorMessage="1" promptTitle="Elemental Formula" prompt="The proposed elemental formula for the specific fragment" sqref="B3" xr:uid="{D7A2E41B-0ABC-4417-ADD5-409956FC0D5B}"/>
    <dataValidation allowBlank="1" showInputMessage="1" showErrorMessage="1" promptTitle="SMILES" prompt="The proposed fragment structure (in SMILES notation) for the specific fragment, can be empty" sqref="C3" xr:uid="{DED9A0D0-1646-4745-B6B8-55F526595BCD}"/>
    <dataValidation allowBlank="1" showInputMessage="1" showErrorMessage="1" promptTitle="Radical" prompt="Does the proposed fragment structure contain a radical electron (TRUE, FALSE, UNKNOWN)" sqref="D3" xr:uid="{9555C802-F1D4-4BD9-AC5B-E21E79AD0809}"/>
    <dataValidation allowBlank="1" showInputMessage="1" showErrorMessage="1" promptTitle="Citation" prompt="Reference or other citation (DOI or website) for the evidence of the fragment identification. Enter USER if it is based on user interpretation only." sqref="E3" xr:uid="{A98701DE-EC2E-4C6B-95DA-1F4A5882F454}"/>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A8C5A-8800-4947-BF2B-F2D386996657}">
  <sheetPr codeName="Sheet10"/>
  <dimension ref="A1:E6"/>
  <sheetViews>
    <sheetView workbookViewId="0">
      <selection activeCell="H13" sqref="H13"/>
    </sheetView>
  </sheetViews>
  <sheetFormatPr defaultRowHeight="15" x14ac:dyDescent="0.25"/>
  <cols>
    <col min="1" max="3" width="27.7109375" customWidth="1"/>
    <col min="4" max="4" width="33.42578125" bestFit="1" customWidth="1"/>
    <col min="5" max="5" width="27.7109375" customWidth="1"/>
  </cols>
  <sheetData>
    <row r="1" spans="1:5" ht="18.75" x14ac:dyDescent="0.3">
      <c r="A1" s="2" t="s">
        <v>237</v>
      </c>
    </row>
    <row r="2" spans="1:5" x14ac:dyDescent="0.25">
      <c r="A2" s="1" t="s">
        <v>6</v>
      </c>
    </row>
    <row r="3" spans="1:5" x14ac:dyDescent="0.25">
      <c r="A3" s="1" t="s">
        <v>231</v>
      </c>
      <c r="B3" s="1" t="s">
        <v>232</v>
      </c>
      <c r="C3" s="1" t="s">
        <v>233</v>
      </c>
      <c r="D3" s="1" t="s">
        <v>234</v>
      </c>
      <c r="E3" s="1" t="s">
        <v>235</v>
      </c>
    </row>
    <row r="4" spans="1:5" x14ac:dyDescent="0.25">
      <c r="A4">
        <v>118.9926</v>
      </c>
      <c r="B4" t="s">
        <v>251</v>
      </c>
      <c r="C4" t="s">
        <v>252</v>
      </c>
      <c r="D4" t="b">
        <v>0</v>
      </c>
      <c r="E4" t="s">
        <v>249</v>
      </c>
    </row>
    <row r="5" spans="1:5" x14ac:dyDescent="0.25">
      <c r="A5">
        <v>268.983</v>
      </c>
      <c r="B5" t="s">
        <v>253</v>
      </c>
      <c r="C5" t="s">
        <v>254</v>
      </c>
      <c r="D5" t="b">
        <v>0</v>
      </c>
      <c r="E5" t="s">
        <v>249</v>
      </c>
    </row>
    <row r="6" spans="1:5" x14ac:dyDescent="0.25">
      <c r="A6">
        <v>59.0139</v>
      </c>
      <c r="B6" t="s">
        <v>247</v>
      </c>
      <c r="C6" t="s">
        <v>248</v>
      </c>
      <c r="D6" t="b">
        <v>0</v>
      </c>
      <c r="E6" t="s">
        <v>250</v>
      </c>
    </row>
  </sheetData>
  <dataValidations count="5">
    <dataValidation allowBlank="1" showInputMessage="1" showErrorMessage="1" promptTitle="mz" prompt="Measured m/z of the fragment to be annotated" sqref="A3" xr:uid="{97E6C6FA-0040-41FF-B549-919211CCF76C}"/>
    <dataValidation allowBlank="1" showInputMessage="1" showErrorMessage="1" promptTitle="Elemental Formula" prompt="The proposed elemental formula for the specific fragment" sqref="B3" xr:uid="{71F768EB-DACD-4112-94C3-41643C676E8D}"/>
    <dataValidation allowBlank="1" showInputMessage="1" showErrorMessage="1" promptTitle="SMILES" prompt="The proposed fragment structure (in SMILES notation) for the specific fragment, can be empty" sqref="C3" xr:uid="{509D0422-DCCB-4D5D-9679-D68E6EE582FF}"/>
    <dataValidation allowBlank="1" showInputMessage="1" showErrorMessage="1" promptTitle="Radical" prompt="Does the proposed fragment structure contain a radical electron (TRUE, FALSE, UNKNOWN)" sqref="D3" xr:uid="{FF50DDC7-CDA9-454D-90C0-E3D46E218287}"/>
    <dataValidation allowBlank="1" showInputMessage="1" showErrorMessage="1" promptTitle="Citation" prompt="Reference or other citation (DOI or website) for the evidence of the fragment identification. Enter USER if it is based on user interpretation only." sqref="E3" xr:uid="{646B8852-7F01-4C1F-AE6D-B1CD2C253398}"/>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EE6AC-1CD2-4943-BD2D-76141526D20F}">
  <sheetPr codeName="Sheet11"/>
  <dimension ref="A1:E6"/>
  <sheetViews>
    <sheetView workbookViewId="0">
      <selection activeCell="D6" sqref="D6"/>
    </sheetView>
  </sheetViews>
  <sheetFormatPr defaultRowHeight="15" x14ac:dyDescent="0.25"/>
  <cols>
    <col min="1" max="3" width="27.7109375" customWidth="1"/>
    <col min="4" max="4" width="39.7109375" bestFit="1" customWidth="1"/>
    <col min="5" max="5" width="27.7109375" customWidth="1"/>
  </cols>
  <sheetData>
    <row r="1" spans="1:5" ht="18.75" x14ac:dyDescent="0.3">
      <c r="A1" s="2" t="s">
        <v>238</v>
      </c>
    </row>
    <row r="2" spans="1:5" x14ac:dyDescent="0.25">
      <c r="A2" s="1" t="s">
        <v>6</v>
      </c>
    </row>
    <row r="3" spans="1:5" x14ac:dyDescent="0.25">
      <c r="A3" s="1" t="s">
        <v>231</v>
      </c>
      <c r="B3" s="1" t="s">
        <v>232</v>
      </c>
      <c r="C3" s="1" t="s">
        <v>233</v>
      </c>
      <c r="D3" s="1" t="s">
        <v>234</v>
      </c>
      <c r="E3" s="1" t="s">
        <v>235</v>
      </c>
    </row>
    <row r="4" spans="1:5" x14ac:dyDescent="0.25">
      <c r="A4">
        <v>118.9926</v>
      </c>
      <c r="B4" t="s">
        <v>251</v>
      </c>
      <c r="C4" t="s">
        <v>252</v>
      </c>
      <c r="D4" t="b">
        <v>0</v>
      </c>
      <c r="E4" t="s">
        <v>249</v>
      </c>
    </row>
    <row r="5" spans="1:5" x14ac:dyDescent="0.25">
      <c r="A5">
        <v>168.98939999999999</v>
      </c>
      <c r="B5" t="s">
        <v>255</v>
      </c>
      <c r="D5" t="s">
        <v>261</v>
      </c>
      <c r="E5" t="s">
        <v>249</v>
      </c>
    </row>
    <row r="6" spans="1:5" x14ac:dyDescent="0.25">
      <c r="A6">
        <v>318.97980000000001</v>
      </c>
      <c r="B6" t="s">
        <v>257</v>
      </c>
      <c r="C6" t="s">
        <v>258</v>
      </c>
      <c r="D6" t="b">
        <v>0</v>
      </c>
      <c r="E6" t="s">
        <v>249</v>
      </c>
    </row>
  </sheetData>
  <dataValidations count="5">
    <dataValidation allowBlank="1" showInputMessage="1" showErrorMessage="1" promptTitle="mz" prompt="Measured m/z of the fragment to be annotated" sqref="A3" xr:uid="{E5DD9694-19B6-4EC0-BCD5-57BE791199DD}"/>
    <dataValidation allowBlank="1" showInputMessage="1" showErrorMessage="1" promptTitle="Elemental Formula" prompt="The proposed elemental formula for the specific fragment" sqref="B3" xr:uid="{CF66EED0-0D3B-4333-BF22-9AD0205E8D05}"/>
    <dataValidation allowBlank="1" showInputMessage="1" showErrorMessage="1" promptTitle="SMILES" prompt="The proposed fragment structure (in SMILES notation) for the specific fragment, can be empty" sqref="C3" xr:uid="{55B5B680-91C4-4CDF-80FF-FB27B9AD8E18}"/>
    <dataValidation allowBlank="1" showInputMessage="1" showErrorMessage="1" promptTitle="Radical" prompt="Does the proposed fragment structure contain a radical electron (TRUE, FALSE, UNKNOWN)" sqref="D3" xr:uid="{39F18CE3-8117-409D-BB28-FAD8A068B213}"/>
    <dataValidation allowBlank="1" showInputMessage="1" showErrorMessage="1" promptTitle="Citation" prompt="Reference or other citation (DOI or website) for the evidence of the fragment identification. Enter USER if it is based on user interpretation only." sqref="E3" xr:uid="{EB3244D9-B227-4CEC-ADBF-21E8600FF5E2}"/>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590F3-0768-45A3-9B72-BA666C49F88E}">
  <sheetPr codeName="Sheet12"/>
  <dimension ref="A1:E8"/>
  <sheetViews>
    <sheetView workbookViewId="0">
      <selection activeCell="H7" sqref="H7"/>
    </sheetView>
  </sheetViews>
  <sheetFormatPr defaultRowHeight="15" x14ac:dyDescent="0.25"/>
  <cols>
    <col min="1" max="5" width="27.7109375" customWidth="1"/>
  </cols>
  <sheetData>
    <row r="1" spans="1:5" ht="18.75" x14ac:dyDescent="0.3">
      <c r="A1" s="2" t="s">
        <v>239</v>
      </c>
    </row>
    <row r="2" spans="1:5" x14ac:dyDescent="0.25">
      <c r="A2" s="1" t="s">
        <v>6</v>
      </c>
    </row>
    <row r="3" spans="1:5" x14ac:dyDescent="0.25">
      <c r="A3" s="1" t="s">
        <v>231</v>
      </c>
      <c r="B3" s="1" t="s">
        <v>232</v>
      </c>
      <c r="C3" s="1" t="s">
        <v>233</v>
      </c>
      <c r="D3" s="1" t="s">
        <v>234</v>
      </c>
      <c r="E3" s="1" t="s">
        <v>235</v>
      </c>
    </row>
    <row r="4" spans="1:5" x14ac:dyDescent="0.25">
      <c r="A4">
        <v>118.9926</v>
      </c>
      <c r="B4" t="s">
        <v>251</v>
      </c>
      <c r="C4" t="s">
        <v>252</v>
      </c>
      <c r="D4" t="b">
        <v>0</v>
      </c>
      <c r="E4" t="s">
        <v>249</v>
      </c>
    </row>
    <row r="5" spans="1:5" x14ac:dyDescent="0.25">
      <c r="A5">
        <v>168.98939999999999</v>
      </c>
      <c r="B5" t="s">
        <v>255</v>
      </c>
      <c r="C5" t="s">
        <v>256</v>
      </c>
      <c r="D5" t="b">
        <v>0</v>
      </c>
      <c r="E5" t="s">
        <v>249</v>
      </c>
    </row>
    <row r="6" spans="1:5" x14ac:dyDescent="0.25">
      <c r="A6">
        <v>218.9862</v>
      </c>
      <c r="B6" t="s">
        <v>245</v>
      </c>
      <c r="C6" t="s">
        <v>246</v>
      </c>
      <c r="D6" t="b">
        <v>0</v>
      </c>
      <c r="E6" t="s">
        <v>249</v>
      </c>
    </row>
    <row r="7" spans="1:5" x14ac:dyDescent="0.25">
      <c r="A7">
        <v>368.97660000000002</v>
      </c>
      <c r="B7" t="s">
        <v>259</v>
      </c>
      <c r="C7" t="s">
        <v>260</v>
      </c>
      <c r="D7" t="b">
        <v>0</v>
      </c>
      <c r="E7" t="s">
        <v>249</v>
      </c>
    </row>
    <row r="8" spans="1:5" x14ac:dyDescent="0.25">
      <c r="A8">
        <v>59.0139</v>
      </c>
      <c r="B8" t="s">
        <v>247</v>
      </c>
      <c r="C8" t="s">
        <v>248</v>
      </c>
      <c r="D8" t="b">
        <v>0</v>
      </c>
      <c r="E8" t="s">
        <v>250</v>
      </c>
    </row>
  </sheetData>
  <dataValidations count="5">
    <dataValidation allowBlank="1" showInputMessage="1" showErrorMessage="1" promptTitle="mz" prompt="Measured m/z of the fragment to be annotated" sqref="A3" xr:uid="{A961C1CB-66E4-4B3F-8499-C8A531263880}"/>
    <dataValidation allowBlank="1" showInputMessage="1" showErrorMessage="1" promptTitle="Elemental Formula" prompt="The proposed elemental formula for the specific fragment" sqref="B3" xr:uid="{3273D71A-676E-4B57-9CF6-F36ABD6EA3FA}"/>
    <dataValidation allowBlank="1" showInputMessage="1" showErrorMessage="1" promptTitle="SMILES" prompt="The proposed fragment structure (in SMILES notation) for the specific fragment, can be empty" sqref="C3" xr:uid="{C85134AC-093F-4428-AAB7-750A6A30DEA2}"/>
    <dataValidation allowBlank="1" showInputMessage="1" showErrorMessage="1" promptTitle="Radical" prompt="Does the proposed fragment structure contain a radical electron (TRUE, FALSE, UNKNOWN)" sqref="D3" xr:uid="{7FBBAEFB-489D-49CD-87A2-9434E69C823C}"/>
    <dataValidation allowBlank="1" showInputMessage="1" showErrorMessage="1" promptTitle="Citation" prompt="Reference or other citation (DOI or website) for the evidence of the fragment identification. Enter USER if it is based on user interpretation only." sqref="E3" xr:uid="{8B5353A5-5895-4070-90FD-348C9463312D}"/>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4C0CC-1BA6-4848-A64E-A6BEC7B897E3}">
  <sheetPr codeName="Sheet13"/>
  <dimension ref="A1:E8"/>
  <sheetViews>
    <sheetView workbookViewId="0">
      <selection activeCell="E8" sqref="E8"/>
    </sheetView>
  </sheetViews>
  <sheetFormatPr defaultRowHeight="15" x14ac:dyDescent="0.25"/>
  <cols>
    <col min="1" max="5" width="27.7109375" customWidth="1"/>
  </cols>
  <sheetData>
    <row r="1" spans="1:5" ht="18.75" x14ac:dyDescent="0.3">
      <c r="A1" s="2" t="s">
        <v>240</v>
      </c>
    </row>
    <row r="2" spans="1:5" x14ac:dyDescent="0.25">
      <c r="A2" s="1" t="s">
        <v>6</v>
      </c>
    </row>
    <row r="3" spans="1:5" x14ac:dyDescent="0.25">
      <c r="A3" s="1" t="s">
        <v>231</v>
      </c>
      <c r="B3" s="1" t="s">
        <v>232</v>
      </c>
      <c r="C3" s="1" t="s">
        <v>233</v>
      </c>
      <c r="D3" s="1" t="s">
        <v>234</v>
      </c>
      <c r="E3" s="1" t="s">
        <v>235</v>
      </c>
    </row>
    <row r="4" spans="1:5" x14ac:dyDescent="0.25">
      <c r="A4">
        <v>118.9926</v>
      </c>
      <c r="B4" t="s">
        <v>251</v>
      </c>
      <c r="C4" t="s">
        <v>252</v>
      </c>
      <c r="D4" t="b">
        <v>0</v>
      </c>
      <c r="E4" t="s">
        <v>249</v>
      </c>
    </row>
    <row r="5" spans="1:5" x14ac:dyDescent="0.25">
      <c r="A5">
        <v>168.98939999999999</v>
      </c>
      <c r="B5" t="s">
        <v>255</v>
      </c>
      <c r="C5" t="s">
        <v>256</v>
      </c>
      <c r="D5" t="b">
        <v>0</v>
      </c>
      <c r="E5" t="s">
        <v>249</v>
      </c>
    </row>
    <row r="6" spans="1:5" x14ac:dyDescent="0.25">
      <c r="A6">
        <v>218.9862</v>
      </c>
      <c r="B6" t="s">
        <v>245</v>
      </c>
      <c r="D6" t="b">
        <v>0</v>
      </c>
      <c r="E6" t="s">
        <v>262</v>
      </c>
    </row>
    <row r="7" spans="1:5" x14ac:dyDescent="0.25">
      <c r="A7">
        <v>268.983</v>
      </c>
      <c r="B7" t="s">
        <v>253</v>
      </c>
      <c r="D7" t="b">
        <v>0</v>
      </c>
      <c r="E7" t="s">
        <v>262</v>
      </c>
    </row>
    <row r="8" spans="1:5" x14ac:dyDescent="0.25">
      <c r="A8">
        <v>59.0139</v>
      </c>
      <c r="B8" t="s">
        <v>247</v>
      </c>
      <c r="C8" t="s">
        <v>248</v>
      </c>
      <c r="D8" t="b">
        <v>0</v>
      </c>
      <c r="E8" t="s">
        <v>250</v>
      </c>
    </row>
  </sheetData>
  <dataValidations count="5">
    <dataValidation allowBlank="1" showInputMessage="1" showErrorMessage="1" promptTitle="mz" prompt="Measured m/z of the fragment to be annotated" sqref="A3" xr:uid="{A9FE7008-820D-4796-933D-41A0DD8D7BFE}"/>
    <dataValidation allowBlank="1" showInputMessage="1" showErrorMessage="1" promptTitle="Elemental Formula" prompt="The proposed elemental formula for the specific fragment" sqref="B3" xr:uid="{97707984-6582-47E2-9D1F-4423ED29FD55}"/>
    <dataValidation allowBlank="1" showInputMessage="1" showErrorMessage="1" promptTitle="SMILES" prompt="The proposed fragment structure (in SMILES notation) for the specific fragment, can be empty" sqref="C3" xr:uid="{DFFE5C95-D28B-4E87-A343-246968F39F94}"/>
    <dataValidation allowBlank="1" showInputMessage="1" showErrorMessage="1" promptTitle="Radical" prompt="Does the proposed fragment structure contain a radical electron (TRUE, FALSE, UNKNOWN)" sqref="D3" xr:uid="{C1349BE8-091D-4837-BF04-034AF6B98FB3}"/>
    <dataValidation allowBlank="1" showInputMessage="1" showErrorMessage="1" promptTitle="Citation" prompt="Reference or other citation (DOI or website) for the evidence of the fragment identification. Enter USER if it is based on user interpretation only." sqref="E3" xr:uid="{5C6B675E-A7DD-402B-9CD6-4C39F8411095}"/>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3EF83-3ED8-4312-B009-FEBED7FC96B3}">
  <sheetPr codeName="Sheet14"/>
  <dimension ref="A1:E5"/>
  <sheetViews>
    <sheetView workbookViewId="0">
      <selection activeCell="E12" sqref="E12"/>
    </sheetView>
  </sheetViews>
  <sheetFormatPr defaultRowHeight="15" x14ac:dyDescent="0.25"/>
  <cols>
    <col min="1" max="5" width="27.7109375" customWidth="1"/>
  </cols>
  <sheetData>
    <row r="1" spans="1:5" ht="18.75" x14ac:dyDescent="0.3">
      <c r="A1" s="2" t="s">
        <v>241</v>
      </c>
    </row>
    <row r="2" spans="1:5" x14ac:dyDescent="0.25">
      <c r="A2" s="1" t="s">
        <v>6</v>
      </c>
    </row>
    <row r="3" spans="1:5" x14ac:dyDescent="0.25">
      <c r="A3" s="1" t="s">
        <v>231</v>
      </c>
      <c r="B3" s="1" t="s">
        <v>232</v>
      </c>
      <c r="C3" s="1" t="s">
        <v>233</v>
      </c>
      <c r="D3" s="1" t="s">
        <v>234</v>
      </c>
      <c r="E3" s="1" t="s">
        <v>235</v>
      </c>
    </row>
    <row r="4" spans="1:5" x14ac:dyDescent="0.25">
      <c r="A4">
        <v>218.9862</v>
      </c>
      <c r="B4" t="s">
        <v>245</v>
      </c>
      <c r="C4" t="s">
        <v>246</v>
      </c>
      <c r="D4" t="b">
        <v>0</v>
      </c>
      <c r="E4" t="s">
        <v>249</v>
      </c>
    </row>
    <row r="5" spans="1:5" x14ac:dyDescent="0.25">
      <c r="A5">
        <v>59.0139</v>
      </c>
      <c r="B5" t="s">
        <v>247</v>
      </c>
      <c r="C5" t="s">
        <v>248</v>
      </c>
      <c r="D5" t="b">
        <v>0</v>
      </c>
      <c r="E5" t="s">
        <v>250</v>
      </c>
    </row>
  </sheetData>
  <dataValidations count="5">
    <dataValidation allowBlank="1" showInputMessage="1" showErrorMessage="1" promptTitle="mz" prompt="Measured m/z of the fragment to be annotated" sqref="A3" xr:uid="{57FDF3A7-2B28-495B-90C8-5359A64479FF}"/>
    <dataValidation allowBlank="1" showInputMessage="1" showErrorMessage="1" promptTitle="Elemental Formula" prompt="The proposed elemental formula for the specific fragment" sqref="B3" xr:uid="{14869F42-A63D-4939-9E35-6F29835C8DFA}"/>
    <dataValidation allowBlank="1" showInputMessage="1" showErrorMessage="1" promptTitle="SMILES" prompt="The proposed fragment structure (in SMILES notation) for the specific fragment, can be empty" sqref="C3" xr:uid="{1AD0E1CD-5D59-47F8-BDB5-E176D60E790F}"/>
    <dataValidation allowBlank="1" showInputMessage="1" showErrorMessage="1" promptTitle="Radical" prompt="Does the proposed fragment structure contain a radical electron (TRUE, FALSE, UNKNOWN)" sqref="D3" xr:uid="{F9570A36-4588-4C90-846F-1999E1BE38A0}"/>
    <dataValidation allowBlank="1" showInputMessage="1" showErrorMessage="1" promptTitle="Citation" prompt="Reference or other citation (DOI or website) for the evidence of the fragment identification. Enter USER if it is based on user interpretation only." sqref="E3" xr:uid="{FA35728E-98AB-4E18-8519-AD511D571D77}"/>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89EE0-9A2B-479D-BBFF-D3205ED7FA7B}">
  <sheetPr codeName="Sheet15"/>
  <dimension ref="A1:E9"/>
  <sheetViews>
    <sheetView workbookViewId="0">
      <selection activeCell="G6" sqref="G6"/>
    </sheetView>
  </sheetViews>
  <sheetFormatPr defaultRowHeight="15" x14ac:dyDescent="0.25"/>
  <cols>
    <col min="1" max="5" width="27.7109375" customWidth="1"/>
  </cols>
  <sheetData>
    <row r="1" spans="1:5" ht="18.75" x14ac:dyDescent="0.3">
      <c r="A1" s="2" t="s">
        <v>242</v>
      </c>
    </row>
    <row r="2" spans="1:5" x14ac:dyDescent="0.25">
      <c r="A2" s="1" t="s">
        <v>6</v>
      </c>
    </row>
    <row r="3" spans="1:5" x14ac:dyDescent="0.25">
      <c r="A3" s="1" t="s">
        <v>231</v>
      </c>
      <c r="B3" s="1" t="s">
        <v>232</v>
      </c>
      <c r="C3" s="1" t="s">
        <v>233</v>
      </c>
      <c r="D3" s="1" t="s">
        <v>234</v>
      </c>
      <c r="E3" s="1" t="s">
        <v>235</v>
      </c>
    </row>
    <row r="4" spans="1:5" x14ac:dyDescent="0.25">
      <c r="A4">
        <v>118.9926</v>
      </c>
      <c r="B4" t="s">
        <v>251</v>
      </c>
      <c r="C4" t="s">
        <v>252</v>
      </c>
      <c r="D4" t="b">
        <v>0</v>
      </c>
      <c r="E4" t="s">
        <v>249</v>
      </c>
    </row>
    <row r="5" spans="1:5" x14ac:dyDescent="0.25">
      <c r="A5">
        <v>168.98939999999999</v>
      </c>
      <c r="B5" t="s">
        <v>255</v>
      </c>
      <c r="C5" t="s">
        <v>256</v>
      </c>
      <c r="D5" t="b">
        <v>0</v>
      </c>
      <c r="E5" t="s">
        <v>249</v>
      </c>
    </row>
    <row r="6" spans="1:5" x14ac:dyDescent="0.25">
      <c r="A6">
        <v>218.9862</v>
      </c>
      <c r="B6" t="s">
        <v>245</v>
      </c>
      <c r="C6" t="s">
        <v>246</v>
      </c>
      <c r="D6" t="b">
        <v>0</v>
      </c>
      <c r="E6" t="s">
        <v>249</v>
      </c>
    </row>
    <row r="7" spans="1:5" x14ac:dyDescent="0.25">
      <c r="A7">
        <v>268.983</v>
      </c>
      <c r="B7" t="s">
        <v>253</v>
      </c>
      <c r="C7" t="s">
        <v>254</v>
      </c>
      <c r="D7" t="b">
        <v>0</v>
      </c>
      <c r="E7" t="s">
        <v>249</v>
      </c>
    </row>
    <row r="8" spans="1:5" x14ac:dyDescent="0.25">
      <c r="A8">
        <v>318.97980000000001</v>
      </c>
      <c r="B8" t="s">
        <v>257</v>
      </c>
      <c r="C8" t="s">
        <v>258</v>
      </c>
      <c r="D8" t="b">
        <v>0</v>
      </c>
      <c r="E8" t="s">
        <v>249</v>
      </c>
    </row>
    <row r="9" spans="1:5" x14ac:dyDescent="0.25">
      <c r="A9">
        <v>368.97660000000002</v>
      </c>
      <c r="B9" t="s">
        <v>259</v>
      </c>
      <c r="C9" t="s">
        <v>260</v>
      </c>
      <c r="D9" t="b">
        <v>0</v>
      </c>
      <c r="E9" t="s">
        <v>249</v>
      </c>
    </row>
  </sheetData>
  <dataValidations count="5">
    <dataValidation allowBlank="1" showInputMessage="1" showErrorMessage="1" promptTitle="mz" prompt="Measured m/z of the fragment to be annotated" sqref="A3" xr:uid="{AD077ACA-6AD6-4AFF-8A83-BE3365D84A1B}"/>
    <dataValidation allowBlank="1" showInputMessage="1" showErrorMessage="1" promptTitle="Elemental Formula" prompt="The proposed elemental formula for the specific fragment" sqref="B3" xr:uid="{3D85DAB1-7C3F-46C2-A320-B9F9D14D4FD3}"/>
    <dataValidation allowBlank="1" showInputMessage="1" showErrorMessage="1" promptTitle="SMILES" prompt="The proposed fragment structure (in SMILES notation) for the specific fragment, can be empty" sqref="C3" xr:uid="{C9AA8CEC-604D-4000-914F-368EFE492F50}"/>
    <dataValidation allowBlank="1" showInputMessage="1" showErrorMessage="1" promptTitle="Radical" prompt="Does the proposed fragment structure contain a radical electron (TRUE, FALSE, UNKNOWN)" sqref="D3" xr:uid="{6111F9FF-BBEF-4BFF-9A19-D718C15962DF}"/>
    <dataValidation allowBlank="1" showInputMessage="1" showErrorMessage="1" promptTitle="Citation" prompt="Reference or other citation (DOI or website) for the evidence of the fragment identification. Enter USER if it is based on user interpretation only." sqref="E3" xr:uid="{1F58E35C-25DE-4555-9AA0-6421127AF778}"/>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FE616-BBD7-461F-9C30-25514D97682D}">
  <sheetPr codeName="Sheet16"/>
  <dimension ref="A1:E8"/>
  <sheetViews>
    <sheetView workbookViewId="0">
      <selection activeCell="C17" sqref="C17"/>
    </sheetView>
  </sheetViews>
  <sheetFormatPr defaultRowHeight="15" x14ac:dyDescent="0.25"/>
  <cols>
    <col min="1" max="5" width="27.7109375" customWidth="1"/>
  </cols>
  <sheetData>
    <row r="1" spans="1:5" ht="18.75" x14ac:dyDescent="0.3">
      <c r="A1" s="2" t="s">
        <v>243</v>
      </c>
    </row>
    <row r="2" spans="1:5" x14ac:dyDescent="0.25">
      <c r="A2" s="1" t="s">
        <v>6</v>
      </c>
    </row>
    <row r="3" spans="1:5" x14ac:dyDescent="0.25">
      <c r="A3" s="1" t="s">
        <v>231</v>
      </c>
      <c r="B3" s="1" t="s">
        <v>232</v>
      </c>
      <c r="C3" s="1" t="s">
        <v>233</v>
      </c>
      <c r="D3" s="1" t="s">
        <v>234</v>
      </c>
      <c r="E3" s="1" t="s">
        <v>235</v>
      </c>
    </row>
    <row r="4" spans="1:5" x14ac:dyDescent="0.25">
      <c r="A4">
        <v>118.9926</v>
      </c>
      <c r="B4" t="s">
        <v>251</v>
      </c>
      <c r="D4" t="s">
        <v>261</v>
      </c>
      <c r="E4" t="s">
        <v>249</v>
      </c>
    </row>
    <row r="5" spans="1:5" x14ac:dyDescent="0.25">
      <c r="A5">
        <v>168.98939999999999</v>
      </c>
      <c r="B5" t="s">
        <v>255</v>
      </c>
      <c r="D5" t="s">
        <v>261</v>
      </c>
      <c r="E5" t="s">
        <v>249</v>
      </c>
    </row>
    <row r="6" spans="1:5" x14ac:dyDescent="0.25">
      <c r="A6">
        <v>218.9862</v>
      </c>
      <c r="B6" t="s">
        <v>245</v>
      </c>
      <c r="C6" t="s">
        <v>246</v>
      </c>
      <c r="D6" t="b">
        <v>0</v>
      </c>
      <c r="E6" t="s">
        <v>249</v>
      </c>
    </row>
    <row r="7" spans="1:5" x14ac:dyDescent="0.25">
      <c r="A7">
        <v>268.983</v>
      </c>
      <c r="B7" t="s">
        <v>253</v>
      </c>
      <c r="C7" t="s">
        <v>254</v>
      </c>
      <c r="D7" t="b">
        <v>0</v>
      </c>
      <c r="E7" t="s">
        <v>249</v>
      </c>
    </row>
    <row r="8" spans="1:5" x14ac:dyDescent="0.25">
      <c r="A8">
        <v>318.97980000000001</v>
      </c>
      <c r="B8" t="s">
        <v>257</v>
      </c>
      <c r="C8" t="s">
        <v>258</v>
      </c>
      <c r="D8" t="b">
        <v>0</v>
      </c>
      <c r="E8" t="s">
        <v>249</v>
      </c>
    </row>
  </sheetData>
  <dataValidations count="5">
    <dataValidation allowBlank="1" showInputMessage="1" showErrorMessage="1" promptTitle="mz" prompt="Measured m/z of the fragment to be annotated" sqref="A3" xr:uid="{02ECD47A-5CA7-47DD-BD7D-EE655D098BBE}"/>
    <dataValidation allowBlank="1" showInputMessage="1" showErrorMessage="1" promptTitle="Elemental Formula" prompt="The proposed elemental formula for the specific fragment" sqref="B3" xr:uid="{003BD54F-89C2-418A-A25D-B77EA44A6D6E}"/>
    <dataValidation allowBlank="1" showInputMessage="1" showErrorMessage="1" promptTitle="SMILES" prompt="The proposed fragment structure (in SMILES notation) for the specific fragment, can be empty" sqref="C3" xr:uid="{CF83A9CC-5486-42F8-94DA-B1D41AE02FDB}"/>
    <dataValidation allowBlank="1" showInputMessage="1" showErrorMessage="1" promptTitle="Radical" prompt="Does the proposed fragment structure contain a radical electron (TRUE, FALSE, UNKNOWN)" sqref="D3" xr:uid="{4E0A93C8-2896-4930-AC13-69C781D52C3E}"/>
    <dataValidation allowBlank="1" showInputMessage="1" showErrorMessage="1" promptTitle="Citation" prompt="Reference or other citation (DOI or website) for the evidence of the fragment identification. Enter USER if it is based on user interpretation only." sqref="E3" xr:uid="{D57B4C92-6C4D-47F2-AA9C-E2633049C117}"/>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13FB5-AFBE-4916-AA53-D12F5FA8ED81}">
  <sheetPr codeName="Sheet17"/>
  <dimension ref="A1:E3"/>
  <sheetViews>
    <sheetView workbookViewId="0"/>
  </sheetViews>
  <sheetFormatPr defaultRowHeight="15" x14ac:dyDescent="0.25"/>
  <cols>
    <col min="1" max="5" width="27.7109375" customWidth="1"/>
  </cols>
  <sheetData>
    <row r="1" spans="1:5" ht="18.75" x14ac:dyDescent="0.3">
      <c r="A1" s="2" t="s">
        <v>244</v>
      </c>
    </row>
    <row r="2" spans="1:5" x14ac:dyDescent="0.25">
      <c r="A2" s="1" t="s">
        <v>6</v>
      </c>
    </row>
    <row r="3" spans="1:5" x14ac:dyDescent="0.25">
      <c r="A3" s="1" t="s">
        <v>231</v>
      </c>
      <c r="B3" s="1" t="s">
        <v>232</v>
      </c>
      <c r="C3" s="1" t="s">
        <v>233</v>
      </c>
      <c r="D3" s="1" t="s">
        <v>234</v>
      </c>
      <c r="E3" s="1" t="s">
        <v>235</v>
      </c>
    </row>
  </sheetData>
  <dataValidations count="5">
    <dataValidation allowBlank="1" showInputMessage="1" showErrorMessage="1" promptTitle="mz" prompt="Measured m/z of the fragment to be annotated" sqref="A3" xr:uid="{3F208E96-5E1B-4BBB-A763-BDDC7BA8AE75}"/>
    <dataValidation allowBlank="1" showInputMessage="1" showErrorMessage="1" promptTitle="Elemental Formula" prompt="The proposed elemental formula for the specific fragment" sqref="B3" xr:uid="{07866F04-AA8F-4AFB-9377-BEB6508F88E8}"/>
    <dataValidation allowBlank="1" showInputMessage="1" showErrorMessage="1" promptTitle="SMILES" prompt="The proposed fragment structure (in SMILES notation) for the specific fragment, can be empty" sqref="C3" xr:uid="{5694BE40-0C46-4998-ADAA-40BF06F41175}"/>
    <dataValidation allowBlank="1" showInputMessage="1" showErrorMessage="1" promptTitle="Radical" prompt="Does the proposed fragment structure contain a radical electron (TRUE, FALSE, UNKNOWN)" sqref="D3" xr:uid="{2A91A7DD-8316-4723-BF37-AF132ACE37F4}"/>
    <dataValidation allowBlank="1" showInputMessage="1" showErrorMessage="1" promptTitle="Citation" prompt="Reference or other citation (DOI or website) for the evidence of the fragment identification. Enter USER if it is based on user interpretation only." sqref="E3" xr:uid="{2EA188A8-C4B3-4067-87A4-3B22786F027B}"/>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Run</vt:lpstr>
      <vt:lpstr>Sample_Input</vt:lpstr>
      <vt:lpstr>Chromatography_Input</vt:lpstr>
      <vt:lpstr>Mass Spectrometry_Input</vt:lpstr>
      <vt:lpstr>QC Method_Input</vt:lpstr>
      <vt:lpstr>Peaks_Input</vt:lpstr>
      <vt:lpstr>Input_Validation</vt:lpstr>
      <vt:lpstr>Ann_Perfluorobutanoic acid</vt:lpstr>
      <vt:lpstr>Ann_Perfluoropentanoic acid</vt:lpstr>
      <vt:lpstr>Ann_Perfluorohexanoic acid</vt:lpstr>
      <vt:lpstr>Ann_Perfluoroheptanoic acid</vt:lpstr>
      <vt:lpstr>Ann_Perfluorooctanoic acid</vt:lpstr>
      <vt:lpstr>Ann_Perfluorononanoic acid</vt:lpstr>
      <vt:lpstr>Ann_Perfluorodecanoic acid</vt:lpstr>
      <vt:lpstr>Ann_Perfluorododecanoic acid</vt:lpstr>
      <vt:lpstr>Ann_Perfluoroundecanoic acid</vt:lpstr>
      <vt:lpstr>Ann_Perfluorotridecanoic acid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2021-06-23T17:00:34Z</dcterms:modified>
</cp:coreProperties>
</file>